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676b0e92a77068/Desktop/Excel project/project 2/"/>
    </mc:Choice>
  </mc:AlternateContent>
  <xr:revisionPtr revIDLastSave="0" documentId="8_{15EAF709-197D-4CF1-8D95-1060901A5842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Dashboard" sheetId="2" r:id="rId1"/>
    <sheet name="Data" sheetId="3" r:id="rId2"/>
    <sheet name="Customer Summary" sheetId="4" r:id="rId3"/>
    <sheet name="What-If" sheetId="5" r:id="rId4"/>
    <sheet name="Descriptive Stats" sheetId="6" r:id="rId5"/>
    <sheet name="Monthly Summary" sheetId="7" r:id="rId6"/>
    <sheet name="Region Product Pivot" sheetId="8" r:id="rId7"/>
    <sheet name="Regression" sheetId="9" r:id="rId8"/>
  </sheets>
  <definedNames>
    <definedName name="_xlnm._FilterDatabase" localSheetId="1" hidden="1">Data!$A$1:$L$201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6" l="1"/>
  <c r="D8" i="6"/>
  <c r="C8" i="6"/>
  <c r="B8" i="6"/>
  <c r="B5" i="9"/>
  <c r="B4" i="9"/>
  <c r="B3" i="9"/>
  <c r="B2" i="9"/>
  <c r="F6" i="8"/>
  <c r="E6" i="8"/>
  <c r="D6" i="8"/>
  <c r="C6" i="8"/>
  <c r="B6" i="8"/>
  <c r="G6" i="8" s="1"/>
  <c r="F5" i="8"/>
  <c r="E5" i="8"/>
  <c r="D5" i="8"/>
  <c r="C5" i="8"/>
  <c r="B5" i="8"/>
  <c r="F4" i="8"/>
  <c r="E4" i="8"/>
  <c r="D4" i="8"/>
  <c r="C4" i="8"/>
  <c r="B4" i="8"/>
  <c r="F3" i="8"/>
  <c r="E3" i="8"/>
  <c r="D3" i="8"/>
  <c r="C3" i="8"/>
  <c r="B3" i="8"/>
  <c r="G3" i="8" s="1"/>
  <c r="F2" i="8"/>
  <c r="F7" i="8" s="1"/>
  <c r="E2" i="8"/>
  <c r="E7" i="8" s="1"/>
  <c r="D2" i="8"/>
  <c r="D7" i="8" s="1"/>
  <c r="C2" i="8"/>
  <c r="C7" i="8" s="1"/>
  <c r="B2" i="8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2" i="6"/>
  <c r="D2" i="6"/>
  <c r="C2" i="6"/>
  <c r="B2" i="6"/>
  <c r="B3" i="5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L201" i="3"/>
  <c r="K201" i="3"/>
  <c r="J201" i="3"/>
  <c r="L200" i="3"/>
  <c r="K200" i="3"/>
  <c r="J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J180" i="3"/>
  <c r="L179" i="3"/>
  <c r="K179" i="3"/>
  <c r="J179" i="3"/>
  <c r="L178" i="3"/>
  <c r="K178" i="3"/>
  <c r="J178" i="3"/>
  <c r="L177" i="3"/>
  <c r="K177" i="3"/>
  <c r="J177" i="3"/>
  <c r="L176" i="3"/>
  <c r="K176" i="3"/>
  <c r="J176" i="3"/>
  <c r="L175" i="3"/>
  <c r="K175" i="3"/>
  <c r="J175" i="3"/>
  <c r="L174" i="3"/>
  <c r="K174" i="3"/>
  <c r="J174" i="3"/>
  <c r="L173" i="3"/>
  <c r="K173" i="3"/>
  <c r="J173" i="3"/>
  <c r="L172" i="3"/>
  <c r="K172" i="3"/>
  <c r="J172" i="3"/>
  <c r="L171" i="3"/>
  <c r="K171" i="3"/>
  <c r="J171" i="3"/>
  <c r="L170" i="3"/>
  <c r="K170" i="3"/>
  <c r="J170" i="3"/>
  <c r="L169" i="3"/>
  <c r="K169" i="3"/>
  <c r="J169" i="3"/>
  <c r="L168" i="3"/>
  <c r="K168" i="3"/>
  <c r="J168" i="3"/>
  <c r="L167" i="3"/>
  <c r="K167" i="3"/>
  <c r="J167" i="3"/>
  <c r="L166" i="3"/>
  <c r="K166" i="3"/>
  <c r="J166" i="3"/>
  <c r="L165" i="3"/>
  <c r="K165" i="3"/>
  <c r="J165" i="3"/>
  <c r="L164" i="3"/>
  <c r="K164" i="3"/>
  <c r="J164" i="3"/>
  <c r="L163" i="3"/>
  <c r="K163" i="3"/>
  <c r="J163" i="3"/>
  <c r="L162" i="3"/>
  <c r="K162" i="3"/>
  <c r="J162" i="3"/>
  <c r="L161" i="3"/>
  <c r="K161" i="3"/>
  <c r="J161" i="3"/>
  <c r="L160" i="3"/>
  <c r="K160" i="3"/>
  <c r="J160" i="3"/>
  <c r="L159" i="3"/>
  <c r="K159" i="3"/>
  <c r="J159" i="3"/>
  <c r="L158" i="3"/>
  <c r="K158" i="3"/>
  <c r="J158" i="3"/>
  <c r="L157" i="3"/>
  <c r="K157" i="3"/>
  <c r="J157" i="3"/>
  <c r="L156" i="3"/>
  <c r="K156" i="3"/>
  <c r="J156" i="3"/>
  <c r="L155" i="3"/>
  <c r="K155" i="3"/>
  <c r="J155" i="3"/>
  <c r="L154" i="3"/>
  <c r="K154" i="3"/>
  <c r="J154" i="3"/>
  <c r="L153" i="3"/>
  <c r="K153" i="3"/>
  <c r="J153" i="3"/>
  <c r="L152" i="3"/>
  <c r="K152" i="3"/>
  <c r="J152" i="3"/>
  <c r="L151" i="3"/>
  <c r="K151" i="3"/>
  <c r="J151" i="3"/>
  <c r="L150" i="3"/>
  <c r="K150" i="3"/>
  <c r="J150" i="3"/>
  <c r="L149" i="3"/>
  <c r="K149" i="3"/>
  <c r="J149" i="3"/>
  <c r="L148" i="3"/>
  <c r="K148" i="3"/>
  <c r="J148" i="3"/>
  <c r="L147" i="3"/>
  <c r="K147" i="3"/>
  <c r="J147" i="3"/>
  <c r="L146" i="3"/>
  <c r="K146" i="3"/>
  <c r="J146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L5" i="3"/>
  <c r="K5" i="3"/>
  <c r="J5" i="3"/>
  <c r="L4" i="3"/>
  <c r="K4" i="3"/>
  <c r="J4" i="3"/>
  <c r="L3" i="3"/>
  <c r="K3" i="3"/>
  <c r="J3" i="3"/>
  <c r="L2" i="3"/>
  <c r="K2" i="3"/>
  <c r="J2" i="3"/>
  <c r="D19" i="2"/>
  <c r="D18" i="2"/>
  <c r="D17" i="2"/>
  <c r="D16" i="2"/>
  <c r="D15" i="2"/>
  <c r="D14" i="2"/>
  <c r="D13" i="2"/>
  <c r="D12" i="2"/>
  <c r="H11" i="2"/>
  <c r="D11" i="2"/>
  <c r="B11" i="2"/>
  <c r="H10" i="2"/>
  <c r="D10" i="2"/>
  <c r="B10" i="2"/>
  <c r="H9" i="2"/>
  <c r="D9" i="2"/>
  <c r="B9" i="2"/>
  <c r="H8" i="2"/>
  <c r="D8" i="2"/>
  <c r="B8" i="2"/>
  <c r="H7" i="2"/>
  <c r="D7" i="2"/>
  <c r="B7" i="2"/>
  <c r="H3" i="2"/>
  <c r="F3" i="2"/>
  <c r="D3" i="2"/>
  <c r="B3" i="2"/>
  <c r="B2" i="7" l="1"/>
  <c r="E7" i="2" s="1"/>
  <c r="C3" i="7"/>
  <c r="C2" i="7"/>
  <c r="C14" i="7"/>
  <c r="B13" i="7"/>
  <c r="C9" i="7"/>
  <c r="B6" i="7"/>
  <c r="B3" i="7"/>
  <c r="C11" i="7"/>
  <c r="C7" i="7"/>
  <c r="B5" i="7"/>
  <c r="B12" i="7"/>
  <c r="E17" i="2" s="1"/>
  <c r="C8" i="7"/>
  <c r="B4" i="7"/>
  <c r="C12" i="7"/>
  <c r="B9" i="7"/>
  <c r="C5" i="7"/>
  <c r="B11" i="7"/>
  <c r="B8" i="7"/>
  <c r="E13" i="2" s="1"/>
  <c r="C4" i="7"/>
  <c r="E4" i="7" s="1"/>
  <c r="C13" i="7"/>
  <c r="C10" i="7"/>
  <c r="B7" i="7"/>
  <c r="B14" i="7"/>
  <c r="B10" i="7"/>
  <c r="C6" i="7"/>
  <c r="B8" i="9"/>
  <c r="G4" i="8"/>
  <c r="G5" i="8"/>
  <c r="B4" i="5"/>
  <c r="B5" i="5" s="1"/>
  <c r="B7" i="8"/>
  <c r="G2" i="8"/>
  <c r="E12" i="7" l="1"/>
  <c r="E9" i="7"/>
  <c r="E8" i="7"/>
  <c r="E3" i="7"/>
  <c r="G7" i="8"/>
  <c r="E5" i="7"/>
  <c r="E18" i="2"/>
  <c r="D13" i="7"/>
  <c r="E11" i="2"/>
  <c r="D6" i="7"/>
  <c r="D9" i="7"/>
  <c r="E14" i="2"/>
  <c r="E11" i="7"/>
  <c r="E10" i="7"/>
  <c r="E14" i="7"/>
  <c r="E13" i="7"/>
  <c r="E8" i="2"/>
  <c r="D3" i="7"/>
  <c r="D5" i="7"/>
  <c r="E10" i="2"/>
  <c r="D4" i="7"/>
  <c r="E9" i="2"/>
  <c r="D12" i="7"/>
  <c r="E16" i="2"/>
  <c r="D11" i="7"/>
  <c r="D8" i="7"/>
  <c r="D7" i="7"/>
  <c r="E12" i="2"/>
  <c r="D14" i="7"/>
  <c r="E19" i="2"/>
  <c r="D10" i="7"/>
  <c r="E15" i="2"/>
  <c r="E6" i="7"/>
  <c r="E7" i="7"/>
</calcChain>
</file>

<file path=xl/sharedStrings.xml><?xml version="1.0" encoding="utf-8"?>
<sst xmlns="http://schemas.openxmlformats.org/spreadsheetml/2006/main" count="949" uniqueCount="118">
  <si>
    <t>PR.2 ANALYZER — SALES DASHBOARD</t>
  </si>
  <si>
    <t>Total Sales</t>
  </si>
  <si>
    <t>Total Profit</t>
  </si>
  <si>
    <t>Total Quantity</t>
  </si>
  <si>
    <t>Total Orders</t>
  </si>
  <si>
    <t>Region</t>
  </si>
  <si>
    <t>Sales</t>
  </si>
  <si>
    <t>Month</t>
  </si>
  <si>
    <t>Category</t>
  </si>
  <si>
    <t>Central</t>
  </si>
  <si>
    <t>Books</t>
  </si>
  <si>
    <t>East</t>
  </si>
  <si>
    <t>Clothing</t>
  </si>
  <si>
    <t>North</t>
  </si>
  <si>
    <t>Electronics</t>
  </si>
  <si>
    <t>South</t>
  </si>
  <si>
    <t>Furniture</t>
  </si>
  <si>
    <t>West</t>
  </si>
  <si>
    <t>Office Supplies</t>
  </si>
  <si>
    <t>Customer_ID</t>
  </si>
  <si>
    <t>Customer_Name</t>
  </si>
  <si>
    <t>Product_Category</t>
  </si>
  <si>
    <t>Quantity</t>
  </si>
  <si>
    <t>Discount</t>
  </si>
  <si>
    <t>Order_Date</t>
  </si>
  <si>
    <t>Profit</t>
  </si>
  <si>
    <t>Timestamp</t>
  </si>
  <si>
    <t>Profit at Scenario Discount</t>
  </si>
  <si>
    <t>CUST019</t>
  </si>
  <si>
    <t>James Davis</t>
  </si>
  <si>
    <t>CUST012</t>
  </si>
  <si>
    <t>Robert Anderson</t>
  </si>
  <si>
    <t>CUST017</t>
  </si>
  <si>
    <t>James Taylor</t>
  </si>
  <si>
    <t>CUST005</t>
  </si>
  <si>
    <t>CUST030</t>
  </si>
  <si>
    <t>James Wilson</t>
  </si>
  <si>
    <t>CUST007</t>
  </si>
  <si>
    <t>Michael Anderson</t>
  </si>
  <si>
    <t>CUST001</t>
  </si>
  <si>
    <t>Linda Wilson</t>
  </si>
  <si>
    <t>CUST026</t>
  </si>
  <si>
    <t>Mary Davis</t>
  </si>
  <si>
    <t>CUST009</t>
  </si>
  <si>
    <t>Linda Jackson</t>
  </si>
  <si>
    <t>CUST010</t>
  </si>
  <si>
    <t>David Thomas</t>
  </si>
  <si>
    <t>CUST014</t>
  </si>
  <si>
    <t>Emma Davis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</si>
  <si>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</si>
  <si>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</si>
  <si>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</si>
  <si>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</si>
  <si>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</si>
  <si>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</si>
  <si>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</si>
  <si>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</si>
  <si>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</si>
  <si>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</si>
  <si>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</si>
  <si>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</si>
  <si>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</si>
  <si>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</si>
  <si>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</si>
  <si>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</si>
  <si>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</si>
  <si>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</si>
  <si>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</si>
  <si>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</si>
  <si>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</si>
  <si>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</si>
  <si>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</si>
  <si>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</si>
  <si>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</si>
  <si>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</si>
  <si>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</si>
  <si>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</si>
  <si>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</si>
  <si>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</si>
  <si>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</si>
  <si>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</si>
  <si>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</si>
  <si>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</si>
  <si>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</si>
  <si>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</si>
  <si>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Total Purchase (Sales)</t>
  </si>
  <si>
    <t>Order Count</t>
  </si>
  <si>
    <t>Value Rank</t>
  </si>
  <si>
    <t>WHAT-IF ANALYSIS: Discount impact on total profit</t>
  </si>
  <si>
    <t>Scenario Discount</t>
  </si>
  <si>
    <t>Current Total Profit</t>
  </si>
  <si>
    <t>Scenario Total Profit</t>
  </si>
  <si>
    <t>Profit Change (Scenario - Current)</t>
  </si>
  <si>
    <t>Assumption</t>
  </si>
  <si>
    <t>Adjusted Profit = Profit - Sales × (Scenario Discount - Original Discount).</t>
  </si>
  <si>
    <t>Metric</t>
  </si>
  <si>
    <t>Count</t>
  </si>
  <si>
    <t>Sum</t>
  </si>
  <si>
    <t>Average</t>
  </si>
  <si>
    <t>Median</t>
  </si>
  <si>
    <t>Minimum</t>
  </si>
  <si>
    <t>Maximum</t>
  </si>
  <si>
    <t>Standard Deviation</t>
  </si>
  <si>
    <t>Sales Growth</t>
  </si>
  <si>
    <t>Profit Growth</t>
  </si>
  <si>
    <t>N/A</t>
  </si>
  <si>
    <t>Grand Total</t>
  </si>
  <si>
    <t>Linear Regression: Profit (Y) vs Sales (X)</t>
  </si>
  <si>
    <t>Value</t>
  </si>
  <si>
    <t>Slope</t>
  </si>
  <si>
    <t>Intercept</t>
  </si>
  <si>
    <t>R-squared</t>
  </si>
  <si>
    <t>Correlation</t>
  </si>
  <si>
    <t>Predicted Profit (use Sales in B7)</t>
  </si>
  <si>
    <t>Enter Sales value</t>
  </si>
  <si>
    <t>Predicted Profit</t>
  </si>
  <si>
    <t>Regression equation</t>
  </si>
  <si>
    <t>Profit = Intercept + Slope ×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</si>
</sst>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\ hh:mm"/>
    <numFmt numFmtId="165" formatCode="mmm\-yyyy"/>
    <numFmt numFmtId="166" formatCode="0.0%"/>
    <numFmt numFmtId="167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2" borderId="0" xfId="0" applyFont="1" applyFill="1"/>
    <xf numFmtId="0" fontId="0" fillId="0" borderId="0" xfId="0"/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Dashboard!$A$7:$A$11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Dashboard!$B$7:$B$11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7-436E-8BBA-9AAF23B80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Dashboard!$D$7:$D$19</c:f>
              <c:numCache>
                <c:formatCode>mmm\-yy</c:formatCode>
                <c:ptCount val="13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  <c:pt idx="8">
                  <c:v>45627</c:v>
                </c:pt>
                <c:pt idx="9">
                  <c:v>45658</c:v>
                </c:pt>
                <c:pt idx="10">
                  <c:v>45689</c:v>
                </c:pt>
                <c:pt idx="11">
                  <c:v>45717</c:v>
                </c:pt>
                <c:pt idx="12">
                  <c:v>45748</c:v>
                </c:pt>
              </c:numCache>
            </c:numRef>
          </c:cat>
          <c:val>
            <c:numRef>
              <c:f>Dashboard!$E$7:$E$19</c:f>
              <c:numCache>
                <c:formatCode>General</c:formatCode>
                <c:ptCount val="13"/>
                <c:pt idx="0">
                  <c:v>19029.96</c:v>
                </c:pt>
                <c:pt idx="1">
                  <c:v>18507.339999999997</c:v>
                </c:pt>
                <c:pt idx="2">
                  <c:v>20187.509999999998</c:v>
                </c:pt>
                <c:pt idx="3">
                  <c:v>11609.039999999999</c:v>
                </c:pt>
                <c:pt idx="4">
                  <c:v>10091.699999999999</c:v>
                </c:pt>
                <c:pt idx="5">
                  <c:v>20533.499999999996</c:v>
                </c:pt>
                <c:pt idx="6">
                  <c:v>14215.240000000002</c:v>
                </c:pt>
                <c:pt idx="7">
                  <c:v>20135.030000000002</c:v>
                </c:pt>
                <c:pt idx="8">
                  <c:v>11120.04</c:v>
                </c:pt>
                <c:pt idx="9">
                  <c:v>14914.650000000001</c:v>
                </c:pt>
                <c:pt idx="10">
                  <c:v>14006.359999999999</c:v>
                </c:pt>
                <c:pt idx="11">
                  <c:v>17655.219999999998</c:v>
                </c:pt>
                <c:pt idx="12">
                  <c:v>3212.17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72-483D-881D-5462FBA8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Product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3410361111111111"/>
                  <c:y val="0.19906746031746034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E0-4AEC-A03F-99392FBD4C13}"/>
                </c:ext>
              </c:extLst>
            </c:dLbl>
            <c:dLbl>
              <c:idx val="1"/>
              <c:layout>
                <c:manualLayout>
                  <c:x val="-0.22646930555555556"/>
                  <c:y val="-0.1739869047619047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E0-4AEC-A03F-99392FBD4C13}"/>
                </c:ext>
              </c:extLst>
            </c:dLbl>
            <c:dLbl>
              <c:idx val="2"/>
              <c:layout>
                <c:manualLayout>
                  <c:x val="0.12573500000000001"/>
                  <c:y val="-0.18425158730158731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E0-4AEC-A03F-99392FBD4C1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Dashboard!$G$7:$G$11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Dashboard!$H$7:$H$11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1-4561-B5DB-0EBC3F4576E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7316444444444443"/>
          <c:y val="0.26712976190476184"/>
          <c:w val="0.20566888888888893"/>
          <c:h val="0.4607003968253968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297180</xdr:colOff>
      <xdr:row>28</xdr:row>
      <xdr:rowOff>175260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441960</xdr:colOff>
      <xdr:row>29</xdr:row>
      <xdr:rowOff>7620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pane ySplit="2" topLeftCell="A8" activePane="bottomLeft" state="frozen"/>
      <selection pane="bottomLeft" activeCell="C11" sqref="C11"/>
    </sheetView>
  </sheetViews>
  <sheetFormatPr defaultRowHeight="14.4" x14ac:dyDescent="0.3"/>
  <cols>
    <col min="1" max="8" width="18" customWidth="1"/>
  </cols>
  <sheetData>
    <row r="1" spans="1:8" ht="21" x14ac:dyDescent="0.4">
      <c r="A1" s="28" t="s">
        <v>0</v>
      </c>
      <c r="B1" s="29"/>
      <c r="C1" s="29"/>
      <c r="D1" s="29"/>
      <c r="E1" s="29"/>
      <c r="F1" s="29"/>
      <c r="G1" s="29"/>
      <c r="H1" s="29"/>
    </row>
    <row r="3" spans="1:8" ht="15.6" x14ac:dyDescent="0.3">
      <c r="A3" s="9" t="s">
        <v>1</v>
      </c>
      <c r="B3" s="10">
        <f>SUM(Data!E2:E201)</f>
        <v>195217.75999999992</v>
      </c>
      <c r="C3" s="9" t="s">
        <v>2</v>
      </c>
      <c r="D3" s="10">
        <f>SUM(Data!I2:I201)</f>
        <v>68287.010000000009</v>
      </c>
      <c r="E3" s="9" t="s">
        <v>3</v>
      </c>
      <c r="F3" s="11">
        <f>SUM(Data!F2:F201)</f>
        <v>1999</v>
      </c>
      <c r="G3" s="9" t="s">
        <v>4</v>
      </c>
      <c r="H3" s="11">
        <f>COUNTA(Data!A2:A201)</f>
        <v>200</v>
      </c>
    </row>
    <row r="6" spans="1:8" x14ac:dyDescent="0.3">
      <c r="A6" s="6" t="s">
        <v>5</v>
      </c>
      <c r="B6" s="6" t="s">
        <v>6</v>
      </c>
      <c r="C6" s="6"/>
      <c r="D6" s="6" t="s">
        <v>7</v>
      </c>
      <c r="E6" s="6" t="s">
        <v>6</v>
      </c>
      <c r="F6" s="6"/>
      <c r="G6" s="6" t="s">
        <v>8</v>
      </c>
      <c r="H6" s="6" t="s">
        <v>6</v>
      </c>
    </row>
    <row r="7" spans="1:8" x14ac:dyDescent="0.3">
      <c r="A7" s="7" t="s">
        <v>9</v>
      </c>
      <c r="B7" s="7">
        <f>SUMIF(Data!$C$2:$C$201,A7,Data!$E$2:$E$201)</f>
        <v>43468.33</v>
      </c>
      <c r="C7" s="7"/>
      <c r="D7" s="8">
        <f>'Monthly Summary'!A2</f>
        <v>45383</v>
      </c>
      <c r="E7" s="7">
        <f>'Monthly Summary'!B2</f>
        <v>19029.96</v>
      </c>
      <c r="F7" s="7"/>
      <c r="G7" s="7" t="s">
        <v>10</v>
      </c>
      <c r="H7" s="7">
        <f>SUMIF(Data!$D$2:$D$201,G7,Data!$E$2:$E$201)</f>
        <v>47002.460000000006</v>
      </c>
    </row>
    <row r="8" spans="1:8" x14ac:dyDescent="0.3">
      <c r="A8" s="7" t="s">
        <v>11</v>
      </c>
      <c r="B8" s="7">
        <f>SUMIF(Data!$C$2:$C$201,A8,Data!$E$2:$E$201)</f>
        <v>32441.64</v>
      </c>
      <c r="C8" s="7"/>
      <c r="D8" s="8">
        <f>'Monthly Summary'!A3</f>
        <v>45413</v>
      </c>
      <c r="E8" s="7">
        <f>'Monthly Summary'!B3</f>
        <v>18507.339999999997</v>
      </c>
      <c r="F8" s="7"/>
      <c r="G8" s="7" t="s">
        <v>12</v>
      </c>
      <c r="H8" s="7">
        <f>SUMIF(Data!$D$2:$D$201,G8,Data!$E$2:$E$201)</f>
        <v>41927.589999999989</v>
      </c>
    </row>
    <row r="9" spans="1:8" x14ac:dyDescent="0.3">
      <c r="A9" s="7" t="s">
        <v>13</v>
      </c>
      <c r="B9" s="7">
        <f>SUMIF(Data!$C$2:$C$201,A9,Data!$E$2:$E$201)</f>
        <v>34975.42</v>
      </c>
      <c r="C9" s="7"/>
      <c r="D9" s="8">
        <f>'Monthly Summary'!A4</f>
        <v>45444</v>
      </c>
      <c r="E9" s="7">
        <f>'Monthly Summary'!B4</f>
        <v>20187.509999999998</v>
      </c>
      <c r="F9" s="7"/>
      <c r="G9" s="7" t="s">
        <v>14</v>
      </c>
      <c r="H9" s="7">
        <f>SUMIF(Data!$D$2:$D$201,G9,Data!$E$2:$E$201)</f>
        <v>41044.000000000007</v>
      </c>
    </row>
    <row r="10" spans="1:8" x14ac:dyDescent="0.3">
      <c r="A10" s="7" t="s">
        <v>15</v>
      </c>
      <c r="B10" s="7">
        <f>SUMIF(Data!$C$2:$C$201,A10,Data!$E$2:$E$201)</f>
        <v>40248.79</v>
      </c>
      <c r="C10" s="7"/>
      <c r="D10" s="8">
        <f>'Monthly Summary'!A5</f>
        <v>45474</v>
      </c>
      <c r="E10" s="7">
        <f>'Monthly Summary'!B5</f>
        <v>11609.039999999999</v>
      </c>
      <c r="F10" s="7"/>
      <c r="G10" s="7" t="s">
        <v>16</v>
      </c>
      <c r="H10" s="7">
        <f>SUMIF(Data!$D$2:$D$201,G10,Data!$E$2:$E$201)</f>
        <v>36612.89</v>
      </c>
    </row>
    <row r="11" spans="1:8" x14ac:dyDescent="0.3">
      <c r="A11" s="7" t="s">
        <v>17</v>
      </c>
      <c r="B11" s="7">
        <f>SUMIF(Data!$C$2:$C$201,A11,Data!$E$2:$E$201)</f>
        <v>44083.58</v>
      </c>
      <c r="C11" s="7"/>
      <c r="D11" s="8">
        <f>'Monthly Summary'!A6</f>
        <v>45505</v>
      </c>
      <c r="E11" s="7">
        <f>'Monthly Summary'!B6</f>
        <v>10091.699999999999</v>
      </c>
      <c r="F11" s="7"/>
      <c r="G11" s="7" t="s">
        <v>18</v>
      </c>
      <c r="H11" s="7">
        <f>SUMIF(Data!$D$2:$D$201,G11,Data!$E$2:$E$201)</f>
        <v>28630.819999999992</v>
      </c>
    </row>
    <row r="12" spans="1:8" x14ac:dyDescent="0.3">
      <c r="A12" s="7"/>
      <c r="B12" s="7"/>
      <c r="C12" s="7"/>
      <c r="D12" s="8">
        <f>'Monthly Summary'!A7</f>
        <v>45536</v>
      </c>
      <c r="E12" s="7">
        <f>'Monthly Summary'!B7</f>
        <v>20533.499999999996</v>
      </c>
      <c r="F12" s="7"/>
      <c r="G12" s="7"/>
      <c r="H12" s="7"/>
    </row>
    <row r="13" spans="1:8" x14ac:dyDescent="0.3">
      <c r="A13" s="7"/>
      <c r="B13" s="7"/>
      <c r="C13" s="7"/>
      <c r="D13" s="8">
        <f>'Monthly Summary'!A8</f>
        <v>45566</v>
      </c>
      <c r="E13" s="7">
        <f>'Monthly Summary'!B8</f>
        <v>14215.240000000002</v>
      </c>
      <c r="F13" s="7"/>
      <c r="G13" s="7"/>
      <c r="H13" s="7"/>
    </row>
    <row r="14" spans="1:8" x14ac:dyDescent="0.3">
      <c r="A14" s="7"/>
      <c r="B14" s="7"/>
      <c r="C14" s="7"/>
      <c r="D14" s="8">
        <f>'Monthly Summary'!A9</f>
        <v>45597</v>
      </c>
      <c r="E14" s="7">
        <f>'Monthly Summary'!B9</f>
        <v>20135.030000000002</v>
      </c>
      <c r="F14" s="7"/>
      <c r="G14" s="7"/>
      <c r="H14" s="7"/>
    </row>
    <row r="15" spans="1:8" x14ac:dyDescent="0.3">
      <c r="A15" s="7"/>
      <c r="B15" s="7"/>
      <c r="C15" s="7"/>
      <c r="D15" s="8">
        <f>'Monthly Summary'!A10</f>
        <v>45627</v>
      </c>
      <c r="E15" s="7">
        <f>'Monthly Summary'!B10</f>
        <v>11120.04</v>
      </c>
      <c r="F15" s="7"/>
      <c r="G15" s="7"/>
      <c r="H15" s="7"/>
    </row>
    <row r="16" spans="1:8" x14ac:dyDescent="0.3">
      <c r="A16" s="7"/>
      <c r="B16" s="7"/>
      <c r="C16" s="7"/>
      <c r="D16" s="8">
        <f>'Monthly Summary'!A11</f>
        <v>45658</v>
      </c>
      <c r="E16" s="7">
        <f>'Monthly Summary'!B11</f>
        <v>14914.650000000001</v>
      </c>
      <c r="F16" s="7"/>
      <c r="G16" s="7"/>
      <c r="H16" s="7"/>
    </row>
    <row r="17" spans="1:8" x14ac:dyDescent="0.3">
      <c r="A17" s="7"/>
      <c r="B17" s="7"/>
      <c r="C17" s="7"/>
      <c r="D17" s="8">
        <f>'Monthly Summary'!A12</f>
        <v>45689</v>
      </c>
      <c r="E17" s="7">
        <f>'Monthly Summary'!B12</f>
        <v>14006.359999999999</v>
      </c>
      <c r="F17" s="7"/>
      <c r="G17" s="7"/>
      <c r="H17" s="7"/>
    </row>
    <row r="18" spans="1:8" x14ac:dyDescent="0.3">
      <c r="A18" s="7"/>
      <c r="B18" s="7"/>
      <c r="C18" s="7"/>
      <c r="D18" s="8">
        <f>'Monthly Summary'!A13</f>
        <v>45717</v>
      </c>
      <c r="E18" s="7">
        <f>'Monthly Summary'!B13</f>
        <v>17655.219999999998</v>
      </c>
      <c r="F18" s="7"/>
      <c r="G18" s="7"/>
      <c r="H18" s="7"/>
    </row>
    <row r="19" spans="1:8" x14ac:dyDescent="0.3">
      <c r="A19" s="7"/>
      <c r="B19" s="7"/>
      <c r="C19" s="7"/>
      <c r="D19" s="8">
        <f>'Monthly Summary'!A14</f>
        <v>45748</v>
      </c>
      <c r="E19" s="7">
        <f>'Monthly Summary'!B14</f>
        <v>3212.17</v>
      </c>
      <c r="F19" s="7"/>
      <c r="G19" s="7"/>
      <c r="H19" s="7"/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1"/>
  <sheetViews>
    <sheetView workbookViewId="0">
      <pane ySplit="1" topLeftCell="A2" activePane="bottomLeft" state="frozen"/>
      <selection pane="bottomLeft" activeCell="L1" sqref="L1:L1048576"/>
    </sheetView>
  </sheetViews>
  <sheetFormatPr defaultRowHeight="14.4" x14ac:dyDescent="0.3"/>
  <cols>
    <col min="1" max="1" width="16.33203125" bestFit="1" customWidth="1"/>
    <col min="2" max="2" width="22" bestFit="1" customWidth="1"/>
    <col min="3" max="3" width="14" customWidth="1"/>
    <col min="4" max="4" width="20" bestFit="1" customWidth="1"/>
    <col min="5" max="5" width="14" customWidth="1"/>
    <col min="6" max="7" width="12.77734375" bestFit="1" customWidth="1"/>
    <col min="8" max="8" width="16" style="1" customWidth="1"/>
    <col min="9" max="9" width="12" customWidth="1"/>
    <col min="10" max="10" width="24" customWidth="1"/>
    <col min="11" max="11" width="16" customWidth="1"/>
    <col min="12" max="12" width="28" bestFit="1" customWidth="1"/>
  </cols>
  <sheetData>
    <row r="1" spans="1:12" x14ac:dyDescent="0.3">
      <c r="A1" s="12" t="s">
        <v>19</v>
      </c>
      <c r="B1" s="12" t="s">
        <v>20</v>
      </c>
      <c r="C1" s="12" t="s">
        <v>5</v>
      </c>
      <c r="D1" s="12" t="s">
        <v>21</v>
      </c>
      <c r="E1" s="12" t="s">
        <v>6</v>
      </c>
      <c r="F1" s="12" t="s">
        <v>22</v>
      </c>
      <c r="G1" s="12" t="s">
        <v>23</v>
      </c>
      <c r="H1" s="13" t="s">
        <v>24</v>
      </c>
      <c r="I1" s="12" t="s">
        <v>25</v>
      </c>
      <c r="J1" s="12" t="s">
        <v>26</v>
      </c>
      <c r="K1" s="12" t="s">
        <v>7</v>
      </c>
      <c r="L1" s="12" t="s">
        <v>27</v>
      </c>
    </row>
    <row r="2" spans="1:12" x14ac:dyDescent="0.3">
      <c r="A2" s="2" t="s">
        <v>28</v>
      </c>
      <c r="B2" s="2" t="s">
        <v>29</v>
      </c>
      <c r="C2" s="2" t="s">
        <v>17</v>
      </c>
      <c r="D2" s="2" t="s">
        <v>10</v>
      </c>
      <c r="E2" s="4">
        <v>1036.0899999999999</v>
      </c>
      <c r="F2" s="2">
        <v>4</v>
      </c>
      <c r="G2" s="5">
        <v>0.2</v>
      </c>
      <c r="H2" s="3">
        <v>45392</v>
      </c>
      <c r="I2" s="4">
        <v>331.55</v>
      </c>
      <c r="J2" s="14">
        <f t="shared" ref="J2:J33" ca="1" si="0">NOW()</f>
        <v>46304.581336574076</v>
      </c>
      <c r="K2" s="7" t="str">
        <f t="shared" ref="K2:K33" si="1">TEXT(H2,"mmm-yyyy")</f>
        <v>Apr-2024</v>
      </c>
      <c r="L2" s="15">
        <f>I2-E2*('What-If'!$B$2-G2)</f>
        <v>435.15899999999999</v>
      </c>
    </row>
    <row r="3" spans="1:12" x14ac:dyDescent="0.3">
      <c r="A3" s="2" t="s">
        <v>30</v>
      </c>
      <c r="B3" s="2" t="s">
        <v>31</v>
      </c>
      <c r="C3" s="2" t="s">
        <v>17</v>
      </c>
      <c r="D3" s="2" t="s">
        <v>12</v>
      </c>
      <c r="E3" s="4">
        <v>1101.28</v>
      </c>
      <c r="F3" s="2">
        <v>3</v>
      </c>
      <c r="G3" s="5">
        <v>0.2</v>
      </c>
      <c r="H3" s="3">
        <v>45393</v>
      </c>
      <c r="I3" s="4">
        <v>440.51</v>
      </c>
      <c r="J3" s="14">
        <f t="shared" ca="1" si="0"/>
        <v>46304.581336574076</v>
      </c>
      <c r="K3" s="7" t="str">
        <f t="shared" si="1"/>
        <v>Apr-2024</v>
      </c>
      <c r="L3" s="15">
        <f>I3-E3*('What-If'!$B$2-G3)</f>
        <v>550.63800000000003</v>
      </c>
    </row>
    <row r="4" spans="1:12" x14ac:dyDescent="0.3">
      <c r="A4" s="2" t="s">
        <v>32</v>
      </c>
      <c r="B4" s="2" t="s">
        <v>33</v>
      </c>
      <c r="C4" s="2" t="s">
        <v>11</v>
      </c>
      <c r="D4" s="2" t="s">
        <v>10</v>
      </c>
      <c r="E4" s="4">
        <v>713.34</v>
      </c>
      <c r="F4" s="2">
        <v>17</v>
      </c>
      <c r="G4" s="5">
        <v>0</v>
      </c>
      <c r="H4" s="3">
        <v>45396</v>
      </c>
      <c r="I4" s="4">
        <v>285.33999999999997</v>
      </c>
      <c r="J4" s="14">
        <f t="shared" ca="1" si="0"/>
        <v>46304.581336574076</v>
      </c>
      <c r="K4" s="7" t="str">
        <f t="shared" si="1"/>
        <v>Apr-2024</v>
      </c>
      <c r="L4" s="15">
        <f>I4-E4*('What-If'!$B$2-G4)</f>
        <v>214.00599999999997</v>
      </c>
    </row>
    <row r="5" spans="1:12" x14ac:dyDescent="0.3">
      <c r="A5" s="2" t="s">
        <v>34</v>
      </c>
      <c r="B5" s="2" t="s">
        <v>31</v>
      </c>
      <c r="C5" s="2" t="s">
        <v>15</v>
      </c>
      <c r="D5" s="2" t="s">
        <v>14</v>
      </c>
      <c r="E5" s="4">
        <v>760.93</v>
      </c>
      <c r="F5" s="2">
        <v>4</v>
      </c>
      <c r="G5" s="5">
        <v>0.15</v>
      </c>
      <c r="H5" s="3">
        <v>45396</v>
      </c>
      <c r="I5" s="4">
        <v>161.69999999999999</v>
      </c>
      <c r="J5" s="14">
        <f t="shared" ca="1" si="0"/>
        <v>46304.581336574076</v>
      </c>
      <c r="K5" s="7" t="str">
        <f t="shared" si="1"/>
        <v>Apr-2024</v>
      </c>
      <c r="L5" s="15">
        <f>I5-E5*('What-If'!$B$2-G5)</f>
        <v>199.74649999999997</v>
      </c>
    </row>
    <row r="6" spans="1:12" x14ac:dyDescent="0.3">
      <c r="A6" s="2" t="s">
        <v>35</v>
      </c>
      <c r="B6" s="2" t="s">
        <v>36</v>
      </c>
      <c r="C6" s="2" t="s">
        <v>13</v>
      </c>
      <c r="D6" s="2" t="s">
        <v>10</v>
      </c>
      <c r="E6" s="4">
        <v>847</v>
      </c>
      <c r="F6" s="2">
        <v>12</v>
      </c>
      <c r="G6" s="5">
        <v>0.2</v>
      </c>
      <c r="H6" s="3">
        <v>45397</v>
      </c>
      <c r="I6" s="4">
        <v>271.04000000000002</v>
      </c>
      <c r="J6" s="14">
        <f t="shared" ca="1" si="0"/>
        <v>46304.581336574076</v>
      </c>
      <c r="K6" s="7" t="str">
        <f t="shared" si="1"/>
        <v>Apr-2024</v>
      </c>
      <c r="L6" s="15">
        <f>I6-E6*('What-If'!$B$2-G6)</f>
        <v>355.74</v>
      </c>
    </row>
    <row r="7" spans="1:12" x14ac:dyDescent="0.3">
      <c r="A7" s="2" t="s">
        <v>37</v>
      </c>
      <c r="B7" s="2" t="s">
        <v>38</v>
      </c>
      <c r="C7" s="2" t="s">
        <v>13</v>
      </c>
      <c r="D7" s="2" t="s">
        <v>16</v>
      </c>
      <c r="E7" s="4">
        <v>965.64</v>
      </c>
      <c r="F7" s="2">
        <v>8</v>
      </c>
      <c r="G7" s="5">
        <v>0.1</v>
      </c>
      <c r="H7" s="3">
        <v>45398</v>
      </c>
      <c r="I7" s="4">
        <v>304.18</v>
      </c>
      <c r="J7" s="14">
        <f t="shared" ca="1" si="0"/>
        <v>46304.581336574076</v>
      </c>
      <c r="K7" s="7" t="str">
        <f t="shared" si="1"/>
        <v>Apr-2024</v>
      </c>
      <c r="L7" s="15">
        <f>I7-E7*('What-If'!$B$2-G7)</f>
        <v>304.18</v>
      </c>
    </row>
    <row r="8" spans="1:12" x14ac:dyDescent="0.3">
      <c r="A8" s="2" t="s">
        <v>39</v>
      </c>
      <c r="B8" s="2" t="s">
        <v>40</v>
      </c>
      <c r="C8" s="2" t="s">
        <v>17</v>
      </c>
      <c r="D8" s="2" t="s">
        <v>14</v>
      </c>
      <c r="E8" s="4">
        <v>1317.53</v>
      </c>
      <c r="F8" s="2">
        <v>12</v>
      </c>
      <c r="G8" s="5">
        <v>0.05</v>
      </c>
      <c r="H8" s="3">
        <v>45398</v>
      </c>
      <c r="I8" s="4">
        <v>312.91000000000003</v>
      </c>
      <c r="J8" s="14">
        <f t="shared" ca="1" si="0"/>
        <v>46304.581336574076</v>
      </c>
      <c r="K8" s="7" t="str">
        <f t="shared" si="1"/>
        <v>Apr-2024</v>
      </c>
      <c r="L8" s="15">
        <f>I8-E8*('What-If'!$B$2-G8)</f>
        <v>247.0335</v>
      </c>
    </row>
    <row r="9" spans="1:12" x14ac:dyDescent="0.3">
      <c r="A9" s="2" t="s">
        <v>41</v>
      </c>
      <c r="B9" s="2" t="s">
        <v>42</v>
      </c>
      <c r="C9" s="2" t="s">
        <v>11</v>
      </c>
      <c r="D9" s="2" t="s">
        <v>16</v>
      </c>
      <c r="E9" s="4">
        <v>1074.47</v>
      </c>
      <c r="F9" s="2">
        <v>6</v>
      </c>
      <c r="G9" s="5">
        <v>0.2</v>
      </c>
      <c r="H9" s="3">
        <v>45401</v>
      </c>
      <c r="I9" s="4">
        <v>300.85000000000002</v>
      </c>
      <c r="J9" s="14">
        <f t="shared" ca="1" si="0"/>
        <v>46304.581336574076</v>
      </c>
      <c r="K9" s="7" t="str">
        <f t="shared" si="1"/>
        <v>Apr-2024</v>
      </c>
      <c r="L9" s="15">
        <f>I9-E9*('What-If'!$B$2-G9)</f>
        <v>408.29700000000003</v>
      </c>
    </row>
    <row r="10" spans="1:12" x14ac:dyDescent="0.3">
      <c r="A10" s="2" t="s">
        <v>43</v>
      </c>
      <c r="B10" s="2" t="s">
        <v>44</v>
      </c>
      <c r="C10" s="2" t="s">
        <v>9</v>
      </c>
      <c r="D10" s="2" t="s">
        <v>10</v>
      </c>
      <c r="E10" s="4">
        <v>501.54</v>
      </c>
      <c r="F10" s="2">
        <v>11</v>
      </c>
      <c r="G10" s="5">
        <v>0.05</v>
      </c>
      <c r="H10" s="3">
        <v>45401</v>
      </c>
      <c r="I10" s="4">
        <v>190.59</v>
      </c>
      <c r="J10" s="14">
        <f t="shared" ca="1" si="0"/>
        <v>46304.581336574076</v>
      </c>
      <c r="K10" s="7" t="str">
        <f t="shared" si="1"/>
        <v>Apr-2024</v>
      </c>
      <c r="L10" s="15">
        <f>I10-E10*('What-If'!$B$2-G10)</f>
        <v>165.51300000000001</v>
      </c>
    </row>
    <row r="11" spans="1:12" x14ac:dyDescent="0.3">
      <c r="A11" s="2" t="s">
        <v>45</v>
      </c>
      <c r="B11" s="2" t="s">
        <v>46</v>
      </c>
      <c r="C11" s="2" t="s">
        <v>9</v>
      </c>
      <c r="D11" s="2" t="s">
        <v>12</v>
      </c>
      <c r="E11" s="4">
        <v>737.31</v>
      </c>
      <c r="F11" s="2">
        <v>2</v>
      </c>
      <c r="G11" s="5">
        <v>0.05</v>
      </c>
      <c r="H11" s="3">
        <v>45401</v>
      </c>
      <c r="I11" s="4">
        <v>350.22</v>
      </c>
      <c r="J11" s="14">
        <f t="shared" ca="1" si="0"/>
        <v>46304.581336574076</v>
      </c>
      <c r="K11" s="7" t="str">
        <f t="shared" si="1"/>
        <v>Apr-2024</v>
      </c>
      <c r="L11" s="15">
        <f>I11-E11*('What-If'!$B$2-G11)</f>
        <v>313.35450000000003</v>
      </c>
    </row>
    <row r="12" spans="1:12" x14ac:dyDescent="0.3">
      <c r="A12" s="2" t="s">
        <v>47</v>
      </c>
      <c r="B12" s="2" t="s">
        <v>48</v>
      </c>
      <c r="C12" s="2" t="s">
        <v>17</v>
      </c>
      <c r="D12" s="2" t="s">
        <v>18</v>
      </c>
      <c r="E12" s="4">
        <v>1572.82</v>
      </c>
      <c r="F12" s="2">
        <v>6</v>
      </c>
      <c r="G12" s="5">
        <v>0.05</v>
      </c>
      <c r="H12" s="3">
        <v>45402</v>
      </c>
      <c r="I12" s="4">
        <v>672.38</v>
      </c>
      <c r="J12" s="14">
        <f t="shared" ca="1" si="0"/>
        <v>46304.581336574076</v>
      </c>
      <c r="K12" s="7" t="str">
        <f t="shared" si="1"/>
        <v>Apr-2024</v>
      </c>
      <c r="L12" s="15">
        <f>I12-E12*('What-If'!$B$2-G12)</f>
        <v>593.73900000000003</v>
      </c>
    </row>
    <row r="13" spans="1:12" x14ac:dyDescent="0.3">
      <c r="A13" s="2" t="s">
        <v>47</v>
      </c>
      <c r="B13" s="2" t="s">
        <v>46</v>
      </c>
      <c r="C13" s="2" t="s">
        <v>9</v>
      </c>
      <c r="D13" s="2" t="s">
        <v>10</v>
      </c>
      <c r="E13" s="4">
        <v>1343.13</v>
      </c>
      <c r="F13" s="2">
        <v>14</v>
      </c>
      <c r="G13" s="5">
        <v>0.15</v>
      </c>
      <c r="H13" s="3">
        <v>45404</v>
      </c>
      <c r="I13" s="4">
        <v>456.66</v>
      </c>
      <c r="J13" s="14">
        <f t="shared" ca="1" si="0"/>
        <v>46304.581336574076</v>
      </c>
      <c r="K13" s="7" t="str">
        <f t="shared" si="1"/>
        <v>Apr-2024</v>
      </c>
      <c r="L13" s="15">
        <f>I13-E13*('What-If'!$B$2-G13)</f>
        <v>523.81650000000002</v>
      </c>
    </row>
    <row r="14" spans="1:12" x14ac:dyDescent="0.3">
      <c r="A14" s="2" t="s">
        <v>37</v>
      </c>
      <c r="B14" s="2" t="s">
        <v>38</v>
      </c>
      <c r="C14" s="2" t="s">
        <v>9</v>
      </c>
      <c r="D14" s="2" t="s">
        <v>10</v>
      </c>
      <c r="E14" s="4">
        <v>1191.58</v>
      </c>
      <c r="F14" s="2">
        <v>14</v>
      </c>
      <c r="G14" s="5">
        <v>0.05</v>
      </c>
      <c r="H14" s="3">
        <v>45406</v>
      </c>
      <c r="I14" s="4">
        <v>452.8</v>
      </c>
      <c r="J14" s="14">
        <f t="shared" ca="1" si="0"/>
        <v>46304.581336574076</v>
      </c>
      <c r="K14" s="7" t="str">
        <f t="shared" si="1"/>
        <v>Apr-2024</v>
      </c>
      <c r="L14" s="15">
        <f>I14-E14*('What-If'!$B$2-G14)</f>
        <v>393.221</v>
      </c>
    </row>
    <row r="15" spans="1:12" x14ac:dyDescent="0.3">
      <c r="A15" s="2" t="s">
        <v>49</v>
      </c>
      <c r="B15" s="2" t="s">
        <v>31</v>
      </c>
      <c r="C15" s="2" t="s">
        <v>17</v>
      </c>
      <c r="D15" s="2" t="s">
        <v>16</v>
      </c>
      <c r="E15" s="4">
        <v>822.28</v>
      </c>
      <c r="F15" s="2">
        <v>7</v>
      </c>
      <c r="G15" s="5">
        <v>0.05</v>
      </c>
      <c r="H15" s="3">
        <v>45406</v>
      </c>
      <c r="I15" s="4">
        <v>273.41000000000003</v>
      </c>
      <c r="J15" s="14">
        <f t="shared" ca="1" si="0"/>
        <v>46304.581336574076</v>
      </c>
      <c r="K15" s="7" t="str">
        <f t="shared" si="1"/>
        <v>Apr-2024</v>
      </c>
      <c r="L15" s="15">
        <f>I15-E15*('What-If'!$B$2-G15)</f>
        <v>232.29600000000002</v>
      </c>
    </row>
    <row r="16" spans="1:12" x14ac:dyDescent="0.3">
      <c r="A16" s="2" t="s">
        <v>50</v>
      </c>
      <c r="B16" s="2" t="s">
        <v>51</v>
      </c>
      <c r="C16" s="2" t="s">
        <v>13</v>
      </c>
      <c r="D16" s="2" t="s">
        <v>16</v>
      </c>
      <c r="E16" s="4">
        <v>521.66999999999996</v>
      </c>
      <c r="F16" s="2">
        <v>15</v>
      </c>
      <c r="G16" s="5">
        <v>0.15</v>
      </c>
      <c r="H16" s="3">
        <v>45409</v>
      </c>
      <c r="I16" s="4">
        <v>155.19999999999999</v>
      </c>
      <c r="J16" s="14">
        <f t="shared" ca="1" si="0"/>
        <v>46304.581336574076</v>
      </c>
      <c r="K16" s="7" t="str">
        <f t="shared" si="1"/>
        <v>Apr-2024</v>
      </c>
      <c r="L16" s="15">
        <f>I16-E16*('What-If'!$B$2-G16)</f>
        <v>181.28349999999998</v>
      </c>
    </row>
    <row r="17" spans="1:12" x14ac:dyDescent="0.3">
      <c r="A17" s="2" t="s">
        <v>34</v>
      </c>
      <c r="B17" s="2" t="s">
        <v>52</v>
      </c>
      <c r="C17" s="2" t="s">
        <v>15</v>
      </c>
      <c r="D17" s="2" t="s">
        <v>14</v>
      </c>
      <c r="E17" s="4">
        <v>1502.93</v>
      </c>
      <c r="F17" s="2">
        <v>14</v>
      </c>
      <c r="G17" s="5">
        <v>0.2</v>
      </c>
      <c r="H17" s="3">
        <v>45410</v>
      </c>
      <c r="I17" s="4">
        <v>300.58999999999997</v>
      </c>
      <c r="J17" s="14">
        <f t="shared" ca="1" si="0"/>
        <v>46304.581336574076</v>
      </c>
      <c r="K17" s="7" t="str">
        <f t="shared" si="1"/>
        <v>Apr-2024</v>
      </c>
      <c r="L17" s="15">
        <f>I17-E17*('What-If'!$B$2-G17)</f>
        <v>450.88299999999998</v>
      </c>
    </row>
    <row r="18" spans="1:12" x14ac:dyDescent="0.3">
      <c r="A18" s="2" t="s">
        <v>53</v>
      </c>
      <c r="B18" s="2" t="s">
        <v>31</v>
      </c>
      <c r="C18" s="2" t="s">
        <v>15</v>
      </c>
      <c r="D18" s="2" t="s">
        <v>10</v>
      </c>
      <c r="E18" s="4">
        <v>877.58</v>
      </c>
      <c r="F18" s="2">
        <v>10</v>
      </c>
      <c r="G18" s="5">
        <v>0.15</v>
      </c>
      <c r="H18" s="3">
        <v>45411</v>
      </c>
      <c r="I18" s="4">
        <v>298.38</v>
      </c>
      <c r="J18" s="14">
        <f t="shared" ca="1" si="0"/>
        <v>46304.581336574076</v>
      </c>
      <c r="K18" s="7" t="str">
        <f t="shared" si="1"/>
        <v>Apr-2024</v>
      </c>
      <c r="L18" s="15">
        <f>I18-E18*('What-If'!$B$2-G18)</f>
        <v>342.25900000000001</v>
      </c>
    </row>
    <row r="19" spans="1:12" x14ac:dyDescent="0.3">
      <c r="A19" s="2" t="s">
        <v>39</v>
      </c>
      <c r="B19" s="2" t="s">
        <v>54</v>
      </c>
      <c r="C19" s="2" t="s">
        <v>17</v>
      </c>
      <c r="D19" s="2" t="s">
        <v>10</v>
      </c>
      <c r="E19" s="4">
        <v>636.70000000000005</v>
      </c>
      <c r="F19" s="2">
        <v>4</v>
      </c>
      <c r="G19" s="5">
        <v>0.2</v>
      </c>
      <c r="H19" s="3">
        <v>45411</v>
      </c>
      <c r="I19" s="4">
        <v>203.74</v>
      </c>
      <c r="J19" s="14">
        <f t="shared" ca="1" si="0"/>
        <v>46304.581336574076</v>
      </c>
      <c r="K19" s="7" t="str">
        <f t="shared" si="1"/>
        <v>Apr-2024</v>
      </c>
      <c r="L19" s="15">
        <f>I19-E19*('What-If'!$B$2-G19)</f>
        <v>267.41000000000003</v>
      </c>
    </row>
    <row r="20" spans="1:12" x14ac:dyDescent="0.3">
      <c r="A20" s="2" t="s">
        <v>55</v>
      </c>
      <c r="B20" s="2" t="s">
        <v>56</v>
      </c>
      <c r="C20" s="2" t="s">
        <v>17</v>
      </c>
      <c r="D20" s="2" t="s">
        <v>10</v>
      </c>
      <c r="E20" s="4">
        <v>1506.14</v>
      </c>
      <c r="F20" s="2">
        <v>13</v>
      </c>
      <c r="G20" s="5">
        <v>0.2</v>
      </c>
      <c r="H20" s="3">
        <v>45412</v>
      </c>
      <c r="I20" s="4">
        <v>481.96</v>
      </c>
      <c r="J20" s="14">
        <f t="shared" ca="1" si="0"/>
        <v>46304.581336574076</v>
      </c>
      <c r="K20" s="7" t="str">
        <f t="shared" si="1"/>
        <v>Apr-2024</v>
      </c>
      <c r="L20" s="15">
        <f>I20-E20*('What-If'!$B$2-G20)</f>
        <v>632.57399999999996</v>
      </c>
    </row>
    <row r="21" spans="1:12" x14ac:dyDescent="0.3">
      <c r="A21" s="2" t="s">
        <v>41</v>
      </c>
      <c r="B21" s="2" t="s">
        <v>42</v>
      </c>
      <c r="C21" s="2" t="s">
        <v>9</v>
      </c>
      <c r="D21" s="2" t="s">
        <v>14</v>
      </c>
      <c r="E21" s="4">
        <v>645.02</v>
      </c>
      <c r="F21" s="2">
        <v>4</v>
      </c>
      <c r="G21" s="5">
        <v>0</v>
      </c>
      <c r="H21" s="3">
        <v>45414</v>
      </c>
      <c r="I21" s="4">
        <v>161.26</v>
      </c>
      <c r="J21" s="14">
        <f t="shared" ca="1" si="0"/>
        <v>46304.581336574076</v>
      </c>
      <c r="K21" s="7" t="str">
        <f t="shared" si="1"/>
        <v>May-2024</v>
      </c>
      <c r="L21" s="15">
        <f>I21-E21*('What-If'!$B$2-G21)</f>
        <v>96.757999999999996</v>
      </c>
    </row>
    <row r="22" spans="1:12" x14ac:dyDescent="0.3">
      <c r="A22" s="2" t="s">
        <v>37</v>
      </c>
      <c r="B22" s="2" t="s">
        <v>57</v>
      </c>
      <c r="C22" s="2" t="s">
        <v>15</v>
      </c>
      <c r="D22" s="2" t="s">
        <v>12</v>
      </c>
      <c r="E22" s="4">
        <v>953.3</v>
      </c>
      <c r="F22" s="2">
        <v>11</v>
      </c>
      <c r="G22" s="5">
        <v>0</v>
      </c>
      <c r="H22" s="3">
        <v>45415</v>
      </c>
      <c r="I22" s="4">
        <v>476.65</v>
      </c>
      <c r="J22" s="14">
        <f t="shared" ca="1" si="0"/>
        <v>46304.581336574076</v>
      </c>
      <c r="K22" s="7" t="str">
        <f t="shared" si="1"/>
        <v>May-2024</v>
      </c>
      <c r="L22" s="15">
        <f>I22-E22*('What-If'!$B$2-G22)</f>
        <v>381.32</v>
      </c>
    </row>
    <row r="23" spans="1:12" x14ac:dyDescent="0.3">
      <c r="A23" s="2" t="s">
        <v>58</v>
      </c>
      <c r="B23" s="2" t="s">
        <v>31</v>
      </c>
      <c r="C23" s="2" t="s">
        <v>13</v>
      </c>
      <c r="D23" s="2" t="s">
        <v>14</v>
      </c>
      <c r="E23" s="4">
        <v>388.56</v>
      </c>
      <c r="F23" s="2">
        <v>14</v>
      </c>
      <c r="G23" s="5">
        <v>0.15</v>
      </c>
      <c r="H23" s="3">
        <v>45416</v>
      </c>
      <c r="I23" s="4">
        <v>82.57</v>
      </c>
      <c r="J23" s="14">
        <f t="shared" ca="1" si="0"/>
        <v>46304.581336574076</v>
      </c>
      <c r="K23" s="7" t="str">
        <f t="shared" si="1"/>
        <v>May-2024</v>
      </c>
      <c r="L23" s="15">
        <f>I23-E23*('What-If'!$B$2-G23)</f>
        <v>101.99799999999999</v>
      </c>
    </row>
    <row r="24" spans="1:12" x14ac:dyDescent="0.3">
      <c r="A24" s="2" t="s">
        <v>28</v>
      </c>
      <c r="B24" s="2" t="s">
        <v>42</v>
      </c>
      <c r="C24" s="2" t="s">
        <v>17</v>
      </c>
      <c r="D24" s="2" t="s">
        <v>10</v>
      </c>
      <c r="E24" s="4">
        <v>743.17</v>
      </c>
      <c r="F24" s="2">
        <v>9</v>
      </c>
      <c r="G24" s="5">
        <v>0</v>
      </c>
      <c r="H24" s="3">
        <v>45416</v>
      </c>
      <c r="I24" s="4">
        <v>297.27</v>
      </c>
      <c r="J24" s="14">
        <f t="shared" ca="1" si="0"/>
        <v>46304.581336574076</v>
      </c>
      <c r="K24" s="7" t="str">
        <f t="shared" si="1"/>
        <v>May-2024</v>
      </c>
      <c r="L24" s="15">
        <f>I24-E24*('What-If'!$B$2-G24)</f>
        <v>222.95299999999997</v>
      </c>
    </row>
    <row r="25" spans="1:12" x14ac:dyDescent="0.3">
      <c r="A25" s="2" t="s">
        <v>49</v>
      </c>
      <c r="B25" s="2" t="s">
        <v>42</v>
      </c>
      <c r="C25" s="2" t="s">
        <v>9</v>
      </c>
      <c r="D25" s="2" t="s">
        <v>14</v>
      </c>
      <c r="E25" s="4">
        <v>706.37</v>
      </c>
      <c r="F25" s="2">
        <v>6</v>
      </c>
      <c r="G25" s="5">
        <v>0</v>
      </c>
      <c r="H25" s="3">
        <v>45416</v>
      </c>
      <c r="I25" s="4">
        <v>176.59</v>
      </c>
      <c r="J25" s="14">
        <f t="shared" ca="1" si="0"/>
        <v>46304.581336574076</v>
      </c>
      <c r="K25" s="7" t="str">
        <f t="shared" si="1"/>
        <v>May-2024</v>
      </c>
      <c r="L25" s="15">
        <f>I25-E25*('What-If'!$B$2-G25)</f>
        <v>105.953</v>
      </c>
    </row>
    <row r="26" spans="1:12" x14ac:dyDescent="0.3">
      <c r="A26" s="2" t="s">
        <v>30</v>
      </c>
      <c r="B26" s="2" t="s">
        <v>42</v>
      </c>
      <c r="C26" s="2" t="s">
        <v>9</v>
      </c>
      <c r="D26" s="2" t="s">
        <v>18</v>
      </c>
      <c r="E26" s="4">
        <v>925.31</v>
      </c>
      <c r="F26" s="2">
        <v>8</v>
      </c>
      <c r="G26" s="5">
        <v>0.1</v>
      </c>
      <c r="H26" s="3">
        <v>45418</v>
      </c>
      <c r="I26" s="4">
        <v>374.75</v>
      </c>
      <c r="J26" s="14">
        <f t="shared" ca="1" si="0"/>
        <v>46304.581336574076</v>
      </c>
      <c r="K26" s="7" t="str">
        <f t="shared" si="1"/>
        <v>May-2024</v>
      </c>
      <c r="L26" s="15">
        <f>I26-E26*('What-If'!$B$2-G26)</f>
        <v>374.75</v>
      </c>
    </row>
    <row r="27" spans="1:12" x14ac:dyDescent="0.3">
      <c r="A27" s="2" t="s">
        <v>45</v>
      </c>
      <c r="B27" s="2" t="s">
        <v>59</v>
      </c>
      <c r="C27" s="2" t="s">
        <v>15</v>
      </c>
      <c r="D27" s="2" t="s">
        <v>14</v>
      </c>
      <c r="E27" s="4">
        <v>1173.1199999999999</v>
      </c>
      <c r="F27" s="2">
        <v>18</v>
      </c>
      <c r="G27" s="5">
        <v>0</v>
      </c>
      <c r="H27" s="3">
        <v>45418</v>
      </c>
      <c r="I27" s="4">
        <v>293.27999999999997</v>
      </c>
      <c r="J27" s="14">
        <f t="shared" ca="1" si="0"/>
        <v>46304.581336574076</v>
      </c>
      <c r="K27" s="7" t="str">
        <f t="shared" si="1"/>
        <v>May-2024</v>
      </c>
      <c r="L27" s="15">
        <f>I27-E27*('What-If'!$B$2-G27)</f>
        <v>175.96799999999996</v>
      </c>
    </row>
    <row r="28" spans="1:12" x14ac:dyDescent="0.3">
      <c r="A28" s="2" t="s">
        <v>35</v>
      </c>
      <c r="B28" s="2" t="s">
        <v>60</v>
      </c>
      <c r="C28" s="2" t="s">
        <v>13</v>
      </c>
      <c r="D28" s="2" t="s">
        <v>16</v>
      </c>
      <c r="E28" s="4">
        <v>675.54</v>
      </c>
      <c r="F28" s="2">
        <v>17</v>
      </c>
      <c r="G28" s="5">
        <v>0</v>
      </c>
      <c r="H28" s="3">
        <v>45420</v>
      </c>
      <c r="I28" s="4">
        <v>236.44</v>
      </c>
      <c r="J28" s="14">
        <f t="shared" ca="1" si="0"/>
        <v>46304.581336574076</v>
      </c>
      <c r="K28" s="7" t="str">
        <f t="shared" si="1"/>
        <v>May-2024</v>
      </c>
      <c r="L28" s="15">
        <f>I28-E28*('What-If'!$B$2-G28)</f>
        <v>168.886</v>
      </c>
    </row>
    <row r="29" spans="1:12" x14ac:dyDescent="0.3">
      <c r="A29" s="2" t="s">
        <v>37</v>
      </c>
      <c r="B29" s="2" t="s">
        <v>31</v>
      </c>
      <c r="C29" s="2" t="s">
        <v>9</v>
      </c>
      <c r="D29" s="2" t="s">
        <v>10</v>
      </c>
      <c r="E29" s="4">
        <v>939.09</v>
      </c>
      <c r="F29" s="2">
        <v>2</v>
      </c>
      <c r="G29" s="5">
        <v>0.05</v>
      </c>
      <c r="H29" s="3">
        <v>45422</v>
      </c>
      <c r="I29" s="4">
        <v>356.85</v>
      </c>
      <c r="J29" s="14">
        <f t="shared" ca="1" si="0"/>
        <v>46304.581336574076</v>
      </c>
      <c r="K29" s="7" t="str">
        <f t="shared" si="1"/>
        <v>May-2024</v>
      </c>
      <c r="L29" s="15">
        <f>I29-E29*('What-If'!$B$2-G29)</f>
        <v>309.89550000000003</v>
      </c>
    </row>
    <row r="30" spans="1:12" x14ac:dyDescent="0.3">
      <c r="A30" s="2" t="s">
        <v>61</v>
      </c>
      <c r="B30" s="2" t="s">
        <v>62</v>
      </c>
      <c r="C30" s="2" t="s">
        <v>11</v>
      </c>
      <c r="D30" s="2" t="s">
        <v>18</v>
      </c>
      <c r="E30" s="4">
        <v>983.34</v>
      </c>
      <c r="F30" s="2">
        <v>19</v>
      </c>
      <c r="G30" s="5">
        <v>0.1</v>
      </c>
      <c r="H30" s="3">
        <v>45426</v>
      </c>
      <c r="I30" s="4">
        <v>398.25</v>
      </c>
      <c r="J30" s="14">
        <f t="shared" ca="1" si="0"/>
        <v>46304.581336574076</v>
      </c>
      <c r="K30" s="7" t="str">
        <f t="shared" si="1"/>
        <v>May-2024</v>
      </c>
      <c r="L30" s="15">
        <f>I30-E30*('What-If'!$B$2-G30)</f>
        <v>398.25</v>
      </c>
    </row>
    <row r="31" spans="1:12" x14ac:dyDescent="0.3">
      <c r="A31" s="2" t="s">
        <v>61</v>
      </c>
      <c r="B31" s="2" t="s">
        <v>36</v>
      </c>
      <c r="C31" s="2" t="s">
        <v>15</v>
      </c>
      <c r="D31" s="2" t="s">
        <v>14</v>
      </c>
      <c r="E31" s="4">
        <v>801.21</v>
      </c>
      <c r="F31" s="2">
        <v>3</v>
      </c>
      <c r="G31" s="5">
        <v>0.2</v>
      </c>
      <c r="H31" s="3">
        <v>45426</v>
      </c>
      <c r="I31" s="4">
        <v>160.24</v>
      </c>
      <c r="J31" s="14">
        <f t="shared" ca="1" si="0"/>
        <v>46304.581336574076</v>
      </c>
      <c r="K31" s="7" t="str">
        <f t="shared" si="1"/>
        <v>May-2024</v>
      </c>
      <c r="L31" s="15">
        <f>I31-E31*('What-If'!$B$2-G31)</f>
        <v>240.36100000000002</v>
      </c>
    </row>
    <row r="32" spans="1:12" x14ac:dyDescent="0.3">
      <c r="A32" s="2" t="s">
        <v>63</v>
      </c>
      <c r="B32" s="2" t="s">
        <v>64</v>
      </c>
      <c r="C32" s="2" t="s">
        <v>13</v>
      </c>
      <c r="D32" s="2" t="s">
        <v>14</v>
      </c>
      <c r="E32" s="4">
        <v>1450.71</v>
      </c>
      <c r="F32" s="2">
        <v>5</v>
      </c>
      <c r="G32" s="5">
        <v>0.1</v>
      </c>
      <c r="H32" s="3">
        <v>45427</v>
      </c>
      <c r="I32" s="4">
        <v>326.41000000000003</v>
      </c>
      <c r="J32" s="14">
        <f t="shared" ca="1" si="0"/>
        <v>46304.581336574076</v>
      </c>
      <c r="K32" s="7" t="str">
        <f t="shared" si="1"/>
        <v>May-2024</v>
      </c>
      <c r="L32" s="15">
        <f>I32-E32*('What-If'!$B$2-G32)</f>
        <v>326.41000000000003</v>
      </c>
    </row>
    <row r="33" spans="1:12" x14ac:dyDescent="0.3">
      <c r="A33" s="2" t="s">
        <v>58</v>
      </c>
      <c r="B33" s="2" t="s">
        <v>65</v>
      </c>
      <c r="C33" s="2" t="s">
        <v>9</v>
      </c>
      <c r="D33" s="2" t="s">
        <v>10</v>
      </c>
      <c r="E33" s="4">
        <v>1023.21</v>
      </c>
      <c r="F33" s="2">
        <v>18</v>
      </c>
      <c r="G33" s="5">
        <v>0.05</v>
      </c>
      <c r="H33" s="3">
        <v>45428</v>
      </c>
      <c r="I33" s="4">
        <v>388.82</v>
      </c>
      <c r="J33" s="14">
        <f t="shared" ca="1" si="0"/>
        <v>46304.581336574076</v>
      </c>
      <c r="K33" s="7" t="str">
        <f t="shared" si="1"/>
        <v>May-2024</v>
      </c>
      <c r="L33" s="15">
        <f>I33-E33*('What-If'!$B$2-G33)</f>
        <v>337.65949999999998</v>
      </c>
    </row>
    <row r="34" spans="1:12" x14ac:dyDescent="0.3">
      <c r="A34" s="2" t="s">
        <v>39</v>
      </c>
      <c r="B34" s="2" t="s">
        <v>56</v>
      </c>
      <c r="C34" s="2" t="s">
        <v>17</v>
      </c>
      <c r="D34" s="2" t="s">
        <v>16</v>
      </c>
      <c r="E34" s="4">
        <v>853.72</v>
      </c>
      <c r="F34" s="2">
        <v>5</v>
      </c>
      <c r="G34" s="5">
        <v>0.15</v>
      </c>
      <c r="H34" s="3">
        <v>45428</v>
      </c>
      <c r="I34" s="4">
        <v>253.98</v>
      </c>
      <c r="J34" s="14">
        <f t="shared" ref="J34:J65" ca="1" si="2">NOW()</f>
        <v>46304.581336574076</v>
      </c>
      <c r="K34" s="7" t="str">
        <f t="shared" ref="K34:K65" si="3">TEXT(H34,"mmm-yyyy")</f>
        <v>May-2024</v>
      </c>
      <c r="L34" s="15">
        <f>I34-E34*('What-If'!$B$2-G34)</f>
        <v>296.666</v>
      </c>
    </row>
    <row r="35" spans="1:12" x14ac:dyDescent="0.3">
      <c r="A35" s="2" t="s">
        <v>66</v>
      </c>
      <c r="B35" s="2" t="s">
        <v>52</v>
      </c>
      <c r="C35" s="2" t="s">
        <v>15</v>
      </c>
      <c r="D35" s="2" t="s">
        <v>14</v>
      </c>
      <c r="E35" s="4">
        <v>967.89</v>
      </c>
      <c r="F35" s="2">
        <v>10</v>
      </c>
      <c r="G35" s="5">
        <v>0.1</v>
      </c>
      <c r="H35" s="3">
        <v>45429</v>
      </c>
      <c r="I35" s="4">
        <v>217.78</v>
      </c>
      <c r="J35" s="14">
        <f t="shared" ca="1" si="2"/>
        <v>46304.581336574076</v>
      </c>
      <c r="K35" s="7" t="str">
        <f t="shared" si="3"/>
        <v>May-2024</v>
      </c>
      <c r="L35" s="15">
        <f>I35-E35*('What-If'!$B$2-G35)</f>
        <v>217.78</v>
      </c>
    </row>
    <row r="36" spans="1:12" x14ac:dyDescent="0.3">
      <c r="A36" s="2" t="s">
        <v>67</v>
      </c>
      <c r="B36" s="2" t="s">
        <v>62</v>
      </c>
      <c r="C36" s="2" t="s">
        <v>13</v>
      </c>
      <c r="D36" s="2" t="s">
        <v>18</v>
      </c>
      <c r="E36" s="4">
        <v>1200.9000000000001</v>
      </c>
      <c r="F36" s="2">
        <v>14</v>
      </c>
      <c r="G36" s="5">
        <v>0.05</v>
      </c>
      <c r="H36" s="3">
        <v>45429</v>
      </c>
      <c r="I36" s="4">
        <v>513.38</v>
      </c>
      <c r="J36" s="14">
        <f t="shared" ca="1" si="2"/>
        <v>46304.581336574076</v>
      </c>
      <c r="K36" s="7" t="str">
        <f t="shared" si="3"/>
        <v>May-2024</v>
      </c>
      <c r="L36" s="15">
        <f>I36-E36*('What-If'!$B$2-G36)</f>
        <v>453.33499999999998</v>
      </c>
    </row>
    <row r="37" spans="1:12" x14ac:dyDescent="0.3">
      <c r="A37" s="2" t="s">
        <v>30</v>
      </c>
      <c r="B37" s="2" t="s">
        <v>38</v>
      </c>
      <c r="C37" s="2" t="s">
        <v>17</v>
      </c>
      <c r="D37" s="2" t="s">
        <v>10</v>
      </c>
      <c r="E37" s="4">
        <v>472.38</v>
      </c>
      <c r="F37" s="2">
        <v>12</v>
      </c>
      <c r="G37" s="5">
        <v>0.2</v>
      </c>
      <c r="H37" s="3">
        <v>45429</v>
      </c>
      <c r="I37" s="4">
        <v>151.16</v>
      </c>
      <c r="J37" s="14">
        <f t="shared" ca="1" si="2"/>
        <v>46304.581336574076</v>
      </c>
      <c r="K37" s="7" t="str">
        <f t="shared" si="3"/>
        <v>May-2024</v>
      </c>
      <c r="L37" s="15">
        <f>I37-E37*('What-If'!$B$2-G37)</f>
        <v>198.398</v>
      </c>
    </row>
    <row r="38" spans="1:12" x14ac:dyDescent="0.3">
      <c r="A38" s="2" t="s">
        <v>28</v>
      </c>
      <c r="B38" s="2" t="s">
        <v>64</v>
      </c>
      <c r="C38" s="2" t="s">
        <v>11</v>
      </c>
      <c r="D38" s="2" t="s">
        <v>18</v>
      </c>
      <c r="E38" s="4">
        <v>840.92</v>
      </c>
      <c r="F38" s="2">
        <v>9</v>
      </c>
      <c r="G38" s="5">
        <v>0.05</v>
      </c>
      <c r="H38" s="3">
        <v>45429</v>
      </c>
      <c r="I38" s="4">
        <v>359.49</v>
      </c>
      <c r="J38" s="14">
        <f t="shared" ca="1" si="2"/>
        <v>46304.581336574076</v>
      </c>
      <c r="K38" s="7" t="str">
        <f t="shared" si="3"/>
        <v>May-2024</v>
      </c>
      <c r="L38" s="15">
        <f>I38-E38*('What-If'!$B$2-G38)</f>
        <v>317.44400000000002</v>
      </c>
    </row>
    <row r="39" spans="1:12" x14ac:dyDescent="0.3">
      <c r="A39" s="2" t="s">
        <v>61</v>
      </c>
      <c r="B39" s="2" t="s">
        <v>57</v>
      </c>
      <c r="C39" s="2" t="s">
        <v>9</v>
      </c>
      <c r="D39" s="2" t="s">
        <v>16</v>
      </c>
      <c r="E39" s="4">
        <v>1410.06</v>
      </c>
      <c r="F39" s="2">
        <v>11</v>
      </c>
      <c r="G39" s="5">
        <v>0.05</v>
      </c>
      <c r="H39" s="3">
        <v>45434</v>
      </c>
      <c r="I39" s="4">
        <v>468.84</v>
      </c>
      <c r="J39" s="14">
        <f t="shared" ca="1" si="2"/>
        <v>46304.581336574076</v>
      </c>
      <c r="K39" s="7" t="str">
        <f t="shared" si="3"/>
        <v>May-2024</v>
      </c>
      <c r="L39" s="15">
        <f>I39-E39*('What-If'!$B$2-G39)</f>
        <v>398.33699999999999</v>
      </c>
    </row>
    <row r="40" spans="1:12" x14ac:dyDescent="0.3">
      <c r="A40" s="2" t="s">
        <v>53</v>
      </c>
      <c r="B40" s="2" t="s">
        <v>68</v>
      </c>
      <c r="C40" s="2" t="s">
        <v>9</v>
      </c>
      <c r="D40" s="2" t="s">
        <v>16</v>
      </c>
      <c r="E40" s="4">
        <v>773.09</v>
      </c>
      <c r="F40" s="2">
        <v>13</v>
      </c>
      <c r="G40" s="5">
        <v>0.15</v>
      </c>
      <c r="H40" s="3">
        <v>45434</v>
      </c>
      <c r="I40" s="4">
        <v>229.99</v>
      </c>
      <c r="J40" s="14">
        <f t="shared" ca="1" si="2"/>
        <v>46304.581336574076</v>
      </c>
      <c r="K40" s="7" t="str">
        <f t="shared" si="3"/>
        <v>May-2024</v>
      </c>
      <c r="L40" s="15">
        <f>I40-E40*('What-If'!$B$2-G40)</f>
        <v>268.64449999999999</v>
      </c>
    </row>
    <row r="41" spans="1:12" x14ac:dyDescent="0.3">
      <c r="A41" s="2" t="s">
        <v>69</v>
      </c>
      <c r="B41" s="2" t="s">
        <v>70</v>
      </c>
      <c r="C41" s="2" t="s">
        <v>11</v>
      </c>
      <c r="D41" s="2" t="s">
        <v>10</v>
      </c>
      <c r="E41" s="4">
        <v>580.42999999999995</v>
      </c>
      <c r="F41" s="2">
        <v>19</v>
      </c>
      <c r="G41" s="5">
        <v>0.15</v>
      </c>
      <c r="H41" s="3">
        <v>45435</v>
      </c>
      <c r="I41" s="4">
        <v>197.35</v>
      </c>
      <c r="J41" s="14">
        <f t="shared" ca="1" si="2"/>
        <v>46304.581336574076</v>
      </c>
      <c r="K41" s="7" t="str">
        <f t="shared" si="3"/>
        <v>May-2024</v>
      </c>
      <c r="L41" s="15">
        <f>I41-E41*('What-If'!$B$2-G41)</f>
        <v>226.3715</v>
      </c>
    </row>
    <row r="42" spans="1:12" x14ac:dyDescent="0.3">
      <c r="A42" s="2" t="s">
        <v>34</v>
      </c>
      <c r="B42" s="2" t="s">
        <v>51</v>
      </c>
      <c r="C42" s="2" t="s">
        <v>15</v>
      </c>
      <c r="D42" s="2" t="s">
        <v>10</v>
      </c>
      <c r="E42" s="4">
        <v>1151.21</v>
      </c>
      <c r="F42" s="2">
        <v>15</v>
      </c>
      <c r="G42" s="5">
        <v>0.1</v>
      </c>
      <c r="H42" s="3">
        <v>45445</v>
      </c>
      <c r="I42" s="4">
        <v>414.44</v>
      </c>
      <c r="J42" s="14">
        <f t="shared" ca="1" si="2"/>
        <v>46304.581336574076</v>
      </c>
      <c r="K42" s="7" t="str">
        <f t="shared" si="3"/>
        <v>Jun-2024</v>
      </c>
      <c r="L42" s="15">
        <f>I42-E42*('What-If'!$B$2-G42)</f>
        <v>414.44</v>
      </c>
    </row>
    <row r="43" spans="1:12" x14ac:dyDescent="0.3">
      <c r="A43" s="2" t="s">
        <v>61</v>
      </c>
      <c r="B43" s="2" t="s">
        <v>36</v>
      </c>
      <c r="C43" s="2" t="s">
        <v>9</v>
      </c>
      <c r="D43" s="2" t="s">
        <v>18</v>
      </c>
      <c r="E43" s="4">
        <v>1025.98</v>
      </c>
      <c r="F43" s="2">
        <v>5</v>
      </c>
      <c r="G43" s="5">
        <v>0.2</v>
      </c>
      <c r="H43" s="3">
        <v>45447</v>
      </c>
      <c r="I43" s="4">
        <v>369.35</v>
      </c>
      <c r="J43" s="14">
        <f t="shared" ca="1" si="2"/>
        <v>46304.581336574076</v>
      </c>
      <c r="K43" s="7" t="str">
        <f t="shared" si="3"/>
        <v>Jun-2024</v>
      </c>
      <c r="L43" s="15">
        <f>I43-E43*('What-If'!$B$2-G43)</f>
        <v>471.94800000000004</v>
      </c>
    </row>
    <row r="44" spans="1:12" x14ac:dyDescent="0.3">
      <c r="A44" s="2" t="s">
        <v>49</v>
      </c>
      <c r="B44" s="2" t="s">
        <v>65</v>
      </c>
      <c r="C44" s="2" t="s">
        <v>11</v>
      </c>
      <c r="D44" s="2" t="s">
        <v>18</v>
      </c>
      <c r="E44" s="4">
        <v>556.41999999999996</v>
      </c>
      <c r="F44" s="2">
        <v>11</v>
      </c>
      <c r="G44" s="5">
        <v>0.15</v>
      </c>
      <c r="H44" s="3">
        <v>45447</v>
      </c>
      <c r="I44" s="4">
        <v>212.83</v>
      </c>
      <c r="J44" s="14">
        <f t="shared" ca="1" si="2"/>
        <v>46304.581336574076</v>
      </c>
      <c r="K44" s="7" t="str">
        <f t="shared" si="3"/>
        <v>Jun-2024</v>
      </c>
      <c r="L44" s="15">
        <f>I44-E44*('What-If'!$B$2-G44)</f>
        <v>240.65100000000001</v>
      </c>
    </row>
    <row r="45" spans="1:12" x14ac:dyDescent="0.3">
      <c r="A45" s="2" t="s">
        <v>66</v>
      </c>
      <c r="B45" s="2" t="s">
        <v>36</v>
      </c>
      <c r="C45" s="2" t="s">
        <v>9</v>
      </c>
      <c r="D45" s="2" t="s">
        <v>10</v>
      </c>
      <c r="E45" s="4">
        <v>840.85</v>
      </c>
      <c r="F45" s="2">
        <v>19</v>
      </c>
      <c r="G45" s="5">
        <v>0.1</v>
      </c>
      <c r="H45" s="3">
        <v>45448</v>
      </c>
      <c r="I45" s="4">
        <v>302.70999999999998</v>
      </c>
      <c r="J45" s="14">
        <f t="shared" ca="1" si="2"/>
        <v>46304.581336574076</v>
      </c>
      <c r="K45" s="7" t="str">
        <f t="shared" si="3"/>
        <v>Jun-2024</v>
      </c>
      <c r="L45" s="15">
        <f>I45-E45*('What-If'!$B$2-G45)</f>
        <v>302.70999999999998</v>
      </c>
    </row>
    <row r="46" spans="1:12" x14ac:dyDescent="0.3">
      <c r="A46" s="2" t="s">
        <v>41</v>
      </c>
      <c r="B46" s="2" t="s">
        <v>70</v>
      </c>
      <c r="C46" s="2" t="s">
        <v>13</v>
      </c>
      <c r="D46" s="2" t="s">
        <v>16</v>
      </c>
      <c r="E46" s="4">
        <v>1227.25</v>
      </c>
      <c r="F46" s="2">
        <v>12</v>
      </c>
      <c r="G46" s="5">
        <v>0.15</v>
      </c>
      <c r="H46" s="3">
        <v>45448</v>
      </c>
      <c r="I46" s="4">
        <v>365.11</v>
      </c>
      <c r="J46" s="14">
        <f t="shared" ca="1" si="2"/>
        <v>46304.581336574076</v>
      </c>
      <c r="K46" s="7" t="str">
        <f t="shared" si="3"/>
        <v>Jun-2024</v>
      </c>
      <c r="L46" s="15">
        <f>I46-E46*('What-If'!$B$2-G46)</f>
        <v>426.47249999999997</v>
      </c>
    </row>
    <row r="47" spans="1:12" x14ac:dyDescent="0.3">
      <c r="A47" s="2" t="s">
        <v>32</v>
      </c>
      <c r="B47" s="2" t="s">
        <v>71</v>
      </c>
      <c r="C47" s="2" t="s">
        <v>9</v>
      </c>
      <c r="D47" s="2" t="s">
        <v>14</v>
      </c>
      <c r="E47" s="4">
        <v>856.7</v>
      </c>
      <c r="F47" s="2">
        <v>2</v>
      </c>
      <c r="G47" s="5">
        <v>0</v>
      </c>
      <c r="H47" s="3">
        <v>45449</v>
      </c>
      <c r="I47" s="4">
        <v>214.18</v>
      </c>
      <c r="J47" s="14">
        <f t="shared" ca="1" si="2"/>
        <v>46304.581336574076</v>
      </c>
      <c r="K47" s="7" t="str">
        <f t="shared" si="3"/>
        <v>Jun-2024</v>
      </c>
      <c r="L47" s="15">
        <f>I47-E47*('What-If'!$B$2-G47)</f>
        <v>128.51</v>
      </c>
    </row>
    <row r="48" spans="1:12" x14ac:dyDescent="0.3">
      <c r="A48" s="2" t="s">
        <v>63</v>
      </c>
      <c r="B48" s="2" t="s">
        <v>65</v>
      </c>
      <c r="C48" s="2" t="s">
        <v>9</v>
      </c>
      <c r="D48" s="2" t="s">
        <v>18</v>
      </c>
      <c r="E48" s="4">
        <v>1225.42</v>
      </c>
      <c r="F48" s="2">
        <v>8</v>
      </c>
      <c r="G48" s="5">
        <v>0.15</v>
      </c>
      <c r="H48" s="3">
        <v>45449</v>
      </c>
      <c r="I48" s="4">
        <v>468.72</v>
      </c>
      <c r="J48" s="14">
        <f t="shared" ca="1" si="2"/>
        <v>46304.581336574076</v>
      </c>
      <c r="K48" s="7" t="str">
        <f t="shared" si="3"/>
        <v>Jun-2024</v>
      </c>
      <c r="L48" s="15">
        <f>I48-E48*('What-If'!$B$2-G48)</f>
        <v>529.99099999999999</v>
      </c>
    </row>
    <row r="49" spans="1:12" x14ac:dyDescent="0.3">
      <c r="A49" s="2" t="s">
        <v>72</v>
      </c>
      <c r="B49" s="2" t="s">
        <v>42</v>
      </c>
      <c r="C49" s="2" t="s">
        <v>13</v>
      </c>
      <c r="D49" s="2" t="s">
        <v>18</v>
      </c>
      <c r="E49" s="4">
        <v>1001.57</v>
      </c>
      <c r="F49" s="2">
        <v>12</v>
      </c>
      <c r="G49" s="5">
        <v>0</v>
      </c>
      <c r="H49" s="3">
        <v>45450</v>
      </c>
      <c r="I49" s="4">
        <v>450.71</v>
      </c>
      <c r="J49" s="14">
        <f t="shared" ca="1" si="2"/>
        <v>46304.581336574076</v>
      </c>
      <c r="K49" s="7" t="str">
        <f t="shared" si="3"/>
        <v>Jun-2024</v>
      </c>
      <c r="L49" s="15">
        <f>I49-E49*('What-If'!$B$2-G49)</f>
        <v>350.553</v>
      </c>
    </row>
    <row r="50" spans="1:12" x14ac:dyDescent="0.3">
      <c r="A50" s="2" t="s">
        <v>66</v>
      </c>
      <c r="B50" s="2" t="s">
        <v>38</v>
      </c>
      <c r="C50" s="2" t="s">
        <v>11</v>
      </c>
      <c r="D50" s="2" t="s">
        <v>16</v>
      </c>
      <c r="E50" s="4">
        <v>1186.8499999999999</v>
      </c>
      <c r="F50" s="2">
        <v>19</v>
      </c>
      <c r="G50" s="5">
        <v>0.2</v>
      </c>
      <c r="H50" s="3">
        <v>45451</v>
      </c>
      <c r="I50" s="4">
        <v>332.32</v>
      </c>
      <c r="J50" s="14">
        <f t="shared" ca="1" si="2"/>
        <v>46304.581336574076</v>
      </c>
      <c r="K50" s="7" t="str">
        <f t="shared" si="3"/>
        <v>Jun-2024</v>
      </c>
      <c r="L50" s="15">
        <f>I50-E50*('What-If'!$B$2-G50)</f>
        <v>451.005</v>
      </c>
    </row>
    <row r="51" spans="1:12" x14ac:dyDescent="0.3">
      <c r="A51" s="2" t="s">
        <v>53</v>
      </c>
      <c r="B51" s="2" t="s">
        <v>60</v>
      </c>
      <c r="C51" s="2" t="s">
        <v>15</v>
      </c>
      <c r="D51" s="2" t="s">
        <v>14</v>
      </c>
      <c r="E51" s="4">
        <v>775.45</v>
      </c>
      <c r="F51" s="2">
        <v>6</v>
      </c>
      <c r="G51" s="5">
        <v>0.1</v>
      </c>
      <c r="H51" s="3">
        <v>45457</v>
      </c>
      <c r="I51" s="4">
        <v>174.48</v>
      </c>
      <c r="J51" s="14">
        <f t="shared" ca="1" si="2"/>
        <v>46304.581336574076</v>
      </c>
      <c r="K51" s="7" t="str">
        <f t="shared" si="3"/>
        <v>Jun-2024</v>
      </c>
      <c r="L51" s="15">
        <f>I51-E51*('What-If'!$B$2-G51)</f>
        <v>174.48</v>
      </c>
    </row>
    <row r="52" spans="1:12" x14ac:dyDescent="0.3">
      <c r="A52" s="2" t="s">
        <v>37</v>
      </c>
      <c r="B52" s="2" t="s">
        <v>44</v>
      </c>
      <c r="C52" s="2" t="s">
        <v>15</v>
      </c>
      <c r="D52" s="2" t="s">
        <v>14</v>
      </c>
      <c r="E52" s="4">
        <v>1021.47</v>
      </c>
      <c r="F52" s="2">
        <v>6</v>
      </c>
      <c r="G52" s="5">
        <v>0.05</v>
      </c>
      <c r="H52" s="3">
        <v>45461</v>
      </c>
      <c r="I52" s="4">
        <v>242.6</v>
      </c>
      <c r="J52" s="14">
        <f t="shared" ca="1" si="2"/>
        <v>46304.581336574076</v>
      </c>
      <c r="K52" s="7" t="str">
        <f t="shared" si="3"/>
        <v>Jun-2024</v>
      </c>
      <c r="L52" s="15">
        <f>I52-E52*('What-If'!$B$2-G52)</f>
        <v>191.5265</v>
      </c>
    </row>
    <row r="53" spans="1:12" x14ac:dyDescent="0.3">
      <c r="A53" s="2" t="s">
        <v>67</v>
      </c>
      <c r="B53" s="2" t="s">
        <v>36</v>
      </c>
      <c r="C53" s="2" t="s">
        <v>15</v>
      </c>
      <c r="D53" s="2" t="s">
        <v>12</v>
      </c>
      <c r="E53" s="4">
        <v>1226.6199999999999</v>
      </c>
      <c r="F53" s="2">
        <v>7</v>
      </c>
      <c r="G53" s="5">
        <v>0.1</v>
      </c>
      <c r="H53" s="3">
        <v>45463</v>
      </c>
      <c r="I53" s="4">
        <v>551.98</v>
      </c>
      <c r="J53" s="14">
        <f t="shared" ca="1" si="2"/>
        <v>46304.581336574076</v>
      </c>
      <c r="K53" s="7" t="str">
        <f t="shared" si="3"/>
        <v>Jun-2024</v>
      </c>
      <c r="L53" s="15">
        <f>I53-E53*('What-If'!$B$2-G53)</f>
        <v>551.98</v>
      </c>
    </row>
    <row r="54" spans="1:12" x14ac:dyDescent="0.3">
      <c r="A54" s="2" t="s">
        <v>35</v>
      </c>
      <c r="B54" s="2" t="s">
        <v>73</v>
      </c>
      <c r="C54" s="2" t="s">
        <v>15</v>
      </c>
      <c r="D54" s="2" t="s">
        <v>16</v>
      </c>
      <c r="E54" s="4">
        <v>1086.93</v>
      </c>
      <c r="F54" s="2">
        <v>2</v>
      </c>
      <c r="G54" s="5">
        <v>0</v>
      </c>
      <c r="H54" s="3">
        <v>45464</v>
      </c>
      <c r="I54" s="4">
        <v>380.43</v>
      </c>
      <c r="J54" s="14">
        <f t="shared" ca="1" si="2"/>
        <v>46304.581336574076</v>
      </c>
      <c r="K54" s="7" t="str">
        <f t="shared" si="3"/>
        <v>Jun-2024</v>
      </c>
      <c r="L54" s="15">
        <f>I54-E54*('What-If'!$B$2-G54)</f>
        <v>271.73699999999997</v>
      </c>
    </row>
    <row r="55" spans="1:12" x14ac:dyDescent="0.3">
      <c r="A55" s="2" t="s">
        <v>74</v>
      </c>
      <c r="B55" s="2" t="s">
        <v>57</v>
      </c>
      <c r="C55" s="2" t="s">
        <v>17</v>
      </c>
      <c r="D55" s="2" t="s">
        <v>10</v>
      </c>
      <c r="E55" s="4">
        <v>942.9</v>
      </c>
      <c r="F55" s="2">
        <v>18</v>
      </c>
      <c r="G55" s="5">
        <v>0.1</v>
      </c>
      <c r="H55" s="3">
        <v>45466</v>
      </c>
      <c r="I55" s="4">
        <v>339.44</v>
      </c>
      <c r="J55" s="14">
        <f t="shared" ca="1" si="2"/>
        <v>46304.581336574076</v>
      </c>
      <c r="K55" s="7" t="str">
        <f t="shared" si="3"/>
        <v>Jun-2024</v>
      </c>
      <c r="L55" s="15">
        <f>I55-E55*('What-If'!$B$2-G55)</f>
        <v>339.44</v>
      </c>
    </row>
    <row r="56" spans="1:12" x14ac:dyDescent="0.3">
      <c r="A56" s="2" t="s">
        <v>43</v>
      </c>
      <c r="B56" s="2" t="s">
        <v>48</v>
      </c>
      <c r="C56" s="2" t="s">
        <v>13</v>
      </c>
      <c r="D56" s="2" t="s">
        <v>14</v>
      </c>
      <c r="E56" s="4">
        <v>818.8</v>
      </c>
      <c r="F56" s="2">
        <v>15</v>
      </c>
      <c r="G56" s="5">
        <v>0.15</v>
      </c>
      <c r="H56" s="3">
        <v>45468</v>
      </c>
      <c r="I56" s="4">
        <v>173.99</v>
      </c>
      <c r="J56" s="14">
        <f t="shared" ca="1" si="2"/>
        <v>46304.581336574076</v>
      </c>
      <c r="K56" s="7" t="str">
        <f t="shared" si="3"/>
        <v>Jun-2024</v>
      </c>
      <c r="L56" s="15">
        <f>I56-E56*('What-If'!$B$2-G56)</f>
        <v>214.93</v>
      </c>
    </row>
    <row r="57" spans="1:12" x14ac:dyDescent="0.3">
      <c r="A57" s="2" t="s">
        <v>34</v>
      </c>
      <c r="B57" s="2" t="s">
        <v>31</v>
      </c>
      <c r="C57" s="2" t="s">
        <v>15</v>
      </c>
      <c r="D57" s="2" t="s">
        <v>16</v>
      </c>
      <c r="E57" s="4">
        <v>919.04</v>
      </c>
      <c r="F57" s="2">
        <v>10</v>
      </c>
      <c r="G57" s="5">
        <v>0.2</v>
      </c>
      <c r="H57" s="3">
        <v>45468</v>
      </c>
      <c r="I57" s="4">
        <v>257.33</v>
      </c>
      <c r="J57" s="14">
        <f t="shared" ca="1" si="2"/>
        <v>46304.581336574076</v>
      </c>
      <c r="K57" s="7" t="str">
        <f t="shared" si="3"/>
        <v>Jun-2024</v>
      </c>
      <c r="L57" s="15">
        <f>I57-E57*('What-If'!$B$2-G57)</f>
        <v>349.23399999999998</v>
      </c>
    </row>
    <row r="58" spans="1:12" x14ac:dyDescent="0.3">
      <c r="A58" s="2" t="s">
        <v>35</v>
      </c>
      <c r="B58" s="2" t="s">
        <v>75</v>
      </c>
      <c r="C58" s="2" t="s">
        <v>9</v>
      </c>
      <c r="D58" s="2" t="s">
        <v>10</v>
      </c>
      <c r="E58" s="4">
        <v>973.26</v>
      </c>
      <c r="F58" s="2">
        <v>11</v>
      </c>
      <c r="G58" s="5">
        <v>0</v>
      </c>
      <c r="H58" s="3">
        <v>45470</v>
      </c>
      <c r="I58" s="4">
        <v>389.3</v>
      </c>
      <c r="J58" s="14">
        <f t="shared" ca="1" si="2"/>
        <v>46304.581336574076</v>
      </c>
      <c r="K58" s="7" t="str">
        <f t="shared" si="3"/>
        <v>Jun-2024</v>
      </c>
      <c r="L58" s="15">
        <f>I58-E58*('What-If'!$B$2-G58)</f>
        <v>291.97399999999999</v>
      </c>
    </row>
    <row r="59" spans="1:12" x14ac:dyDescent="0.3">
      <c r="A59" s="2" t="s">
        <v>50</v>
      </c>
      <c r="B59" s="2" t="s">
        <v>73</v>
      </c>
      <c r="C59" s="2" t="s">
        <v>13</v>
      </c>
      <c r="D59" s="2" t="s">
        <v>14</v>
      </c>
      <c r="E59" s="4">
        <v>741.61</v>
      </c>
      <c r="F59" s="2">
        <v>1</v>
      </c>
      <c r="G59" s="5">
        <v>0.2</v>
      </c>
      <c r="H59" s="3">
        <v>45471</v>
      </c>
      <c r="I59" s="4">
        <v>148.32</v>
      </c>
      <c r="J59" s="14">
        <f t="shared" ca="1" si="2"/>
        <v>46304.581336574076</v>
      </c>
      <c r="K59" s="7" t="str">
        <f t="shared" si="3"/>
        <v>Jun-2024</v>
      </c>
      <c r="L59" s="15">
        <f>I59-E59*('What-If'!$B$2-G59)</f>
        <v>222.48099999999999</v>
      </c>
    </row>
    <row r="60" spans="1:12" x14ac:dyDescent="0.3">
      <c r="A60" s="2" t="s">
        <v>76</v>
      </c>
      <c r="B60" s="2" t="s">
        <v>48</v>
      </c>
      <c r="C60" s="2" t="s">
        <v>13</v>
      </c>
      <c r="D60" s="2" t="s">
        <v>10</v>
      </c>
      <c r="E60" s="4">
        <v>1248.82</v>
      </c>
      <c r="F60" s="2">
        <v>2</v>
      </c>
      <c r="G60" s="5">
        <v>0.1</v>
      </c>
      <c r="H60" s="3">
        <v>45473</v>
      </c>
      <c r="I60" s="4">
        <v>449.58</v>
      </c>
      <c r="J60" s="14">
        <f t="shared" ca="1" si="2"/>
        <v>46304.581336574076</v>
      </c>
      <c r="K60" s="7" t="str">
        <f t="shared" si="3"/>
        <v>Jun-2024</v>
      </c>
      <c r="L60" s="15">
        <f>I60-E60*('What-If'!$B$2-G60)</f>
        <v>449.58</v>
      </c>
    </row>
    <row r="61" spans="1:12" x14ac:dyDescent="0.3">
      <c r="A61" s="2" t="s">
        <v>30</v>
      </c>
      <c r="B61" s="2" t="s">
        <v>68</v>
      </c>
      <c r="C61" s="2" t="s">
        <v>17</v>
      </c>
      <c r="D61" s="2" t="s">
        <v>12</v>
      </c>
      <c r="E61" s="4">
        <v>1360.36</v>
      </c>
      <c r="F61" s="2">
        <v>17</v>
      </c>
      <c r="G61" s="5">
        <v>0</v>
      </c>
      <c r="H61" s="3">
        <v>45473</v>
      </c>
      <c r="I61" s="4">
        <v>680.18</v>
      </c>
      <c r="J61" s="14">
        <f t="shared" ca="1" si="2"/>
        <v>46304.581336574076</v>
      </c>
      <c r="K61" s="7" t="str">
        <f t="shared" si="3"/>
        <v>Jun-2024</v>
      </c>
      <c r="L61" s="15">
        <f>I61-E61*('What-If'!$B$2-G61)</f>
        <v>544.14400000000001</v>
      </c>
    </row>
    <row r="62" spans="1:12" x14ac:dyDescent="0.3">
      <c r="A62" s="2" t="s">
        <v>66</v>
      </c>
      <c r="B62" s="2" t="s">
        <v>42</v>
      </c>
      <c r="C62" s="2" t="s">
        <v>11</v>
      </c>
      <c r="D62" s="2" t="s">
        <v>10</v>
      </c>
      <c r="E62" s="4">
        <v>1383.3</v>
      </c>
      <c r="F62" s="2">
        <v>8</v>
      </c>
      <c r="G62" s="5">
        <v>0.1</v>
      </c>
      <c r="H62" s="3">
        <v>45478</v>
      </c>
      <c r="I62" s="4">
        <v>497.99</v>
      </c>
      <c r="J62" s="14">
        <f t="shared" ca="1" si="2"/>
        <v>46304.581336574076</v>
      </c>
      <c r="K62" s="7" t="str">
        <f t="shared" si="3"/>
        <v>Jul-2024</v>
      </c>
      <c r="L62" s="15">
        <f>I62-E62*('What-If'!$B$2-G62)</f>
        <v>497.99</v>
      </c>
    </row>
    <row r="63" spans="1:12" x14ac:dyDescent="0.3">
      <c r="A63" s="2" t="s">
        <v>45</v>
      </c>
      <c r="B63" s="2" t="s">
        <v>64</v>
      </c>
      <c r="C63" s="2" t="s">
        <v>9</v>
      </c>
      <c r="D63" s="2" t="s">
        <v>18</v>
      </c>
      <c r="E63" s="4">
        <v>488.99</v>
      </c>
      <c r="F63" s="2">
        <v>9</v>
      </c>
      <c r="G63" s="5">
        <v>0</v>
      </c>
      <c r="H63" s="3">
        <v>45479</v>
      </c>
      <c r="I63" s="4">
        <v>220.05</v>
      </c>
      <c r="J63" s="14">
        <f t="shared" ca="1" si="2"/>
        <v>46304.581336574076</v>
      </c>
      <c r="K63" s="7" t="str">
        <f t="shared" si="3"/>
        <v>Jul-2024</v>
      </c>
      <c r="L63" s="15">
        <f>I63-E63*('What-If'!$B$2-G63)</f>
        <v>171.15100000000001</v>
      </c>
    </row>
    <row r="64" spans="1:12" x14ac:dyDescent="0.3">
      <c r="A64" s="2" t="s">
        <v>41</v>
      </c>
      <c r="B64" s="2" t="s">
        <v>42</v>
      </c>
      <c r="C64" s="2" t="s">
        <v>11</v>
      </c>
      <c r="D64" s="2" t="s">
        <v>16</v>
      </c>
      <c r="E64" s="4">
        <v>933.71</v>
      </c>
      <c r="F64" s="2">
        <v>17</v>
      </c>
      <c r="G64" s="5">
        <v>0.1</v>
      </c>
      <c r="H64" s="3">
        <v>45481</v>
      </c>
      <c r="I64" s="4">
        <v>294.12</v>
      </c>
      <c r="J64" s="14">
        <f t="shared" ca="1" si="2"/>
        <v>46304.581336574076</v>
      </c>
      <c r="K64" s="7" t="str">
        <f t="shared" si="3"/>
        <v>Jul-2024</v>
      </c>
      <c r="L64" s="15">
        <f>I64-E64*('What-If'!$B$2-G64)</f>
        <v>294.12</v>
      </c>
    </row>
    <row r="65" spans="1:12" x14ac:dyDescent="0.3">
      <c r="A65" s="2" t="s">
        <v>76</v>
      </c>
      <c r="B65" s="2" t="s">
        <v>29</v>
      </c>
      <c r="C65" s="2" t="s">
        <v>17</v>
      </c>
      <c r="D65" s="2" t="s">
        <v>14</v>
      </c>
      <c r="E65" s="4">
        <v>1005.53</v>
      </c>
      <c r="F65" s="2">
        <v>17</v>
      </c>
      <c r="G65" s="5">
        <v>0.2</v>
      </c>
      <c r="H65" s="3">
        <v>45481</v>
      </c>
      <c r="I65" s="4">
        <v>201.11</v>
      </c>
      <c r="J65" s="14">
        <f t="shared" ca="1" si="2"/>
        <v>46304.581336574076</v>
      </c>
      <c r="K65" s="7" t="str">
        <f t="shared" si="3"/>
        <v>Jul-2024</v>
      </c>
      <c r="L65" s="15">
        <f>I65-E65*('What-If'!$B$2-G65)</f>
        <v>301.66300000000001</v>
      </c>
    </row>
    <row r="66" spans="1:12" x14ac:dyDescent="0.3">
      <c r="A66" s="2" t="s">
        <v>50</v>
      </c>
      <c r="B66" s="2" t="s">
        <v>70</v>
      </c>
      <c r="C66" s="2" t="s">
        <v>15</v>
      </c>
      <c r="D66" s="2" t="s">
        <v>14</v>
      </c>
      <c r="E66" s="4">
        <v>1100.0999999999999</v>
      </c>
      <c r="F66" s="2">
        <v>5</v>
      </c>
      <c r="G66" s="5">
        <v>0.05</v>
      </c>
      <c r="H66" s="3">
        <v>45482</v>
      </c>
      <c r="I66" s="4">
        <v>261.27</v>
      </c>
      <c r="J66" s="14">
        <f t="shared" ref="J66:J97" ca="1" si="4">NOW()</f>
        <v>46304.581336574076</v>
      </c>
      <c r="K66" s="7" t="str">
        <f t="shared" ref="K66:K97" si="5">TEXT(H66,"mmm-yyyy")</f>
        <v>Jul-2024</v>
      </c>
      <c r="L66" s="15">
        <f>I66-E66*('What-If'!$B$2-G66)</f>
        <v>206.26499999999999</v>
      </c>
    </row>
    <row r="67" spans="1:12" x14ac:dyDescent="0.3">
      <c r="A67" s="2" t="s">
        <v>76</v>
      </c>
      <c r="B67" s="2" t="s">
        <v>36</v>
      </c>
      <c r="C67" s="2" t="s">
        <v>13</v>
      </c>
      <c r="D67" s="2" t="s">
        <v>16</v>
      </c>
      <c r="E67" s="4">
        <v>1034.7</v>
      </c>
      <c r="F67" s="2">
        <v>15</v>
      </c>
      <c r="G67" s="5">
        <v>0.15</v>
      </c>
      <c r="H67" s="3">
        <v>45487</v>
      </c>
      <c r="I67" s="4">
        <v>307.82</v>
      </c>
      <c r="J67" s="14">
        <f t="shared" ca="1" si="4"/>
        <v>46304.581336574076</v>
      </c>
      <c r="K67" s="7" t="str">
        <f t="shared" si="5"/>
        <v>Jul-2024</v>
      </c>
      <c r="L67" s="15">
        <f>I67-E67*('What-If'!$B$2-G67)</f>
        <v>359.55500000000001</v>
      </c>
    </row>
    <row r="68" spans="1:12" x14ac:dyDescent="0.3">
      <c r="A68" s="2" t="s">
        <v>74</v>
      </c>
      <c r="B68" s="2" t="s">
        <v>42</v>
      </c>
      <c r="C68" s="2" t="s">
        <v>15</v>
      </c>
      <c r="D68" s="2" t="s">
        <v>10</v>
      </c>
      <c r="E68" s="4">
        <v>876.44</v>
      </c>
      <c r="F68" s="2">
        <v>12</v>
      </c>
      <c r="G68" s="5">
        <v>0.05</v>
      </c>
      <c r="H68" s="3">
        <v>45488</v>
      </c>
      <c r="I68" s="4">
        <v>333.05</v>
      </c>
      <c r="J68" s="14">
        <f t="shared" ca="1" si="4"/>
        <v>46304.581336574076</v>
      </c>
      <c r="K68" s="7" t="str">
        <f t="shared" si="5"/>
        <v>Jul-2024</v>
      </c>
      <c r="L68" s="15">
        <f>I68-E68*('What-If'!$B$2-G68)</f>
        <v>289.22800000000001</v>
      </c>
    </row>
    <row r="69" spans="1:12" x14ac:dyDescent="0.3">
      <c r="A69" s="2" t="s">
        <v>77</v>
      </c>
      <c r="B69" s="2" t="s">
        <v>64</v>
      </c>
      <c r="C69" s="2" t="s">
        <v>17</v>
      </c>
      <c r="D69" s="2" t="s">
        <v>16</v>
      </c>
      <c r="E69" s="4">
        <v>1371.34</v>
      </c>
      <c r="F69" s="2">
        <v>5</v>
      </c>
      <c r="G69" s="5">
        <v>0.05</v>
      </c>
      <c r="H69" s="3">
        <v>45488</v>
      </c>
      <c r="I69" s="4">
        <v>455.97</v>
      </c>
      <c r="J69" s="14">
        <f t="shared" ca="1" si="4"/>
        <v>46304.581336574076</v>
      </c>
      <c r="K69" s="7" t="str">
        <f t="shared" si="5"/>
        <v>Jul-2024</v>
      </c>
      <c r="L69" s="15">
        <f>I69-E69*('What-If'!$B$2-G69)</f>
        <v>387.40300000000002</v>
      </c>
    </row>
    <row r="70" spans="1:12" x14ac:dyDescent="0.3">
      <c r="A70" s="2" t="s">
        <v>66</v>
      </c>
      <c r="B70" s="2" t="s">
        <v>56</v>
      </c>
      <c r="C70" s="2" t="s">
        <v>13</v>
      </c>
      <c r="D70" s="2" t="s">
        <v>14</v>
      </c>
      <c r="E70" s="4">
        <v>1020.26</v>
      </c>
      <c r="F70" s="2">
        <v>11</v>
      </c>
      <c r="G70" s="5">
        <v>0.05</v>
      </c>
      <c r="H70" s="3">
        <v>45494</v>
      </c>
      <c r="I70" s="4">
        <v>242.31</v>
      </c>
      <c r="J70" s="14">
        <f t="shared" ca="1" si="4"/>
        <v>46304.581336574076</v>
      </c>
      <c r="K70" s="7" t="str">
        <f t="shared" si="5"/>
        <v>Jul-2024</v>
      </c>
      <c r="L70" s="15">
        <f>I70-E70*('What-If'!$B$2-G70)</f>
        <v>191.297</v>
      </c>
    </row>
    <row r="71" spans="1:12" x14ac:dyDescent="0.3">
      <c r="A71" s="2" t="s">
        <v>53</v>
      </c>
      <c r="B71" s="2" t="s">
        <v>29</v>
      </c>
      <c r="C71" s="2" t="s">
        <v>9</v>
      </c>
      <c r="D71" s="2" t="s">
        <v>18</v>
      </c>
      <c r="E71" s="4">
        <v>804.81</v>
      </c>
      <c r="F71" s="2">
        <v>1</v>
      </c>
      <c r="G71" s="5">
        <v>0.05</v>
      </c>
      <c r="H71" s="3">
        <v>45502</v>
      </c>
      <c r="I71" s="4">
        <v>344.06</v>
      </c>
      <c r="J71" s="14">
        <f t="shared" ca="1" si="4"/>
        <v>46304.581336574076</v>
      </c>
      <c r="K71" s="7" t="str">
        <f t="shared" si="5"/>
        <v>Jul-2024</v>
      </c>
      <c r="L71" s="15">
        <f>I71-E71*('What-If'!$B$2-G71)</f>
        <v>303.81950000000001</v>
      </c>
    </row>
    <row r="72" spans="1:12" x14ac:dyDescent="0.3">
      <c r="A72" s="2" t="s">
        <v>35</v>
      </c>
      <c r="B72" s="2" t="s">
        <v>64</v>
      </c>
      <c r="C72" s="2" t="s">
        <v>9</v>
      </c>
      <c r="D72" s="2" t="s">
        <v>14</v>
      </c>
      <c r="E72" s="4">
        <v>608.66</v>
      </c>
      <c r="F72" s="2">
        <v>1</v>
      </c>
      <c r="G72" s="5">
        <v>0.05</v>
      </c>
      <c r="H72" s="3">
        <v>45503</v>
      </c>
      <c r="I72" s="4">
        <v>144.56</v>
      </c>
      <c r="J72" s="14">
        <f t="shared" ca="1" si="4"/>
        <v>46304.581336574076</v>
      </c>
      <c r="K72" s="7" t="str">
        <f t="shared" si="5"/>
        <v>Jul-2024</v>
      </c>
      <c r="L72" s="15">
        <f>I72-E72*('What-If'!$B$2-G72)</f>
        <v>114.12700000000001</v>
      </c>
    </row>
    <row r="73" spans="1:12" x14ac:dyDescent="0.3">
      <c r="A73" s="2" t="s">
        <v>77</v>
      </c>
      <c r="B73" s="2" t="s">
        <v>78</v>
      </c>
      <c r="C73" s="2" t="s">
        <v>15</v>
      </c>
      <c r="D73" s="2" t="s">
        <v>18</v>
      </c>
      <c r="E73" s="4">
        <v>981.2</v>
      </c>
      <c r="F73" s="2">
        <v>19</v>
      </c>
      <c r="G73" s="5">
        <v>0</v>
      </c>
      <c r="H73" s="3">
        <v>45504</v>
      </c>
      <c r="I73" s="4">
        <v>441.54</v>
      </c>
      <c r="J73" s="14">
        <f t="shared" ca="1" si="4"/>
        <v>46304.581336574076</v>
      </c>
      <c r="K73" s="7" t="str">
        <f t="shared" si="5"/>
        <v>Jul-2024</v>
      </c>
      <c r="L73" s="15">
        <f>I73-E73*('What-If'!$B$2-G73)</f>
        <v>343.42</v>
      </c>
    </row>
    <row r="74" spans="1:12" x14ac:dyDescent="0.3">
      <c r="A74" s="2" t="s">
        <v>79</v>
      </c>
      <c r="B74" s="2" t="s">
        <v>64</v>
      </c>
      <c r="C74" s="2" t="s">
        <v>11</v>
      </c>
      <c r="D74" s="2" t="s">
        <v>14</v>
      </c>
      <c r="E74" s="4">
        <v>539.77</v>
      </c>
      <c r="F74" s="2">
        <v>10</v>
      </c>
      <c r="G74" s="5">
        <v>0.15</v>
      </c>
      <c r="H74" s="3">
        <v>45509</v>
      </c>
      <c r="I74" s="4">
        <v>114.7</v>
      </c>
      <c r="J74" s="14">
        <f t="shared" ca="1" si="4"/>
        <v>46304.581336574076</v>
      </c>
      <c r="K74" s="7" t="str">
        <f t="shared" si="5"/>
        <v>Aug-2024</v>
      </c>
      <c r="L74" s="15">
        <f>I74-E74*('What-If'!$B$2-G74)</f>
        <v>141.6885</v>
      </c>
    </row>
    <row r="75" spans="1:12" x14ac:dyDescent="0.3">
      <c r="A75" s="2" t="s">
        <v>30</v>
      </c>
      <c r="B75" s="2" t="s">
        <v>80</v>
      </c>
      <c r="C75" s="2" t="s">
        <v>15</v>
      </c>
      <c r="D75" s="2" t="s">
        <v>10</v>
      </c>
      <c r="E75" s="4">
        <v>804.45</v>
      </c>
      <c r="F75" s="2">
        <v>5</v>
      </c>
      <c r="G75" s="5">
        <v>0.2</v>
      </c>
      <c r="H75" s="3">
        <v>45509</v>
      </c>
      <c r="I75" s="4">
        <v>257.42</v>
      </c>
      <c r="J75" s="14">
        <f t="shared" ca="1" si="4"/>
        <v>46304.581336574076</v>
      </c>
      <c r="K75" s="7" t="str">
        <f t="shared" si="5"/>
        <v>Aug-2024</v>
      </c>
      <c r="L75" s="15">
        <f>I75-E75*('What-If'!$B$2-G75)</f>
        <v>337.86500000000001</v>
      </c>
    </row>
    <row r="76" spans="1:12" x14ac:dyDescent="0.3">
      <c r="A76" s="2" t="s">
        <v>79</v>
      </c>
      <c r="B76" s="2" t="s">
        <v>48</v>
      </c>
      <c r="C76" s="2" t="s">
        <v>17</v>
      </c>
      <c r="D76" s="2" t="s">
        <v>14</v>
      </c>
      <c r="E76" s="4">
        <v>1526.6</v>
      </c>
      <c r="F76" s="2">
        <v>13</v>
      </c>
      <c r="G76" s="5">
        <v>0.2</v>
      </c>
      <c r="H76" s="3">
        <v>45512</v>
      </c>
      <c r="I76" s="4">
        <v>305.32</v>
      </c>
      <c r="J76" s="14">
        <f t="shared" ca="1" si="4"/>
        <v>46304.581336574076</v>
      </c>
      <c r="K76" s="7" t="str">
        <f t="shared" si="5"/>
        <v>Aug-2024</v>
      </c>
      <c r="L76" s="15">
        <f>I76-E76*('What-If'!$B$2-G76)</f>
        <v>457.98</v>
      </c>
    </row>
    <row r="77" spans="1:12" x14ac:dyDescent="0.3">
      <c r="A77" s="2" t="s">
        <v>30</v>
      </c>
      <c r="B77" s="2" t="s">
        <v>40</v>
      </c>
      <c r="C77" s="2" t="s">
        <v>17</v>
      </c>
      <c r="D77" s="2" t="s">
        <v>14</v>
      </c>
      <c r="E77" s="4">
        <v>1215.26</v>
      </c>
      <c r="F77" s="2">
        <v>5</v>
      </c>
      <c r="G77" s="5">
        <v>0.15</v>
      </c>
      <c r="H77" s="3">
        <v>45513</v>
      </c>
      <c r="I77" s="4">
        <v>258.24</v>
      </c>
      <c r="J77" s="14">
        <f t="shared" ca="1" si="4"/>
        <v>46304.581336574076</v>
      </c>
      <c r="K77" s="7" t="str">
        <f t="shared" si="5"/>
        <v>Aug-2024</v>
      </c>
      <c r="L77" s="15">
        <f>I77-E77*('What-If'!$B$2-G77)</f>
        <v>319.00299999999999</v>
      </c>
    </row>
    <row r="78" spans="1:12" x14ac:dyDescent="0.3">
      <c r="A78" s="2" t="s">
        <v>34</v>
      </c>
      <c r="B78" s="2" t="s">
        <v>62</v>
      </c>
      <c r="C78" s="2" t="s">
        <v>9</v>
      </c>
      <c r="D78" s="2" t="s">
        <v>16</v>
      </c>
      <c r="E78" s="4">
        <v>1261.3399999999999</v>
      </c>
      <c r="F78" s="2">
        <v>3</v>
      </c>
      <c r="G78" s="5">
        <v>0</v>
      </c>
      <c r="H78" s="3">
        <v>45519</v>
      </c>
      <c r="I78" s="4">
        <v>441.47</v>
      </c>
      <c r="J78" s="14">
        <f t="shared" ca="1" si="4"/>
        <v>46304.581336574076</v>
      </c>
      <c r="K78" s="7" t="str">
        <f t="shared" si="5"/>
        <v>Aug-2024</v>
      </c>
      <c r="L78" s="15">
        <f>I78-E78*('What-If'!$B$2-G78)</f>
        <v>315.33600000000001</v>
      </c>
    </row>
    <row r="79" spans="1:12" x14ac:dyDescent="0.3">
      <c r="A79" s="2" t="s">
        <v>81</v>
      </c>
      <c r="B79" s="2" t="s">
        <v>54</v>
      </c>
      <c r="C79" s="2" t="s">
        <v>13</v>
      </c>
      <c r="D79" s="2" t="s">
        <v>16</v>
      </c>
      <c r="E79" s="4">
        <v>518.07000000000005</v>
      </c>
      <c r="F79" s="2">
        <v>7</v>
      </c>
      <c r="G79" s="5">
        <v>0.05</v>
      </c>
      <c r="H79" s="3">
        <v>45522</v>
      </c>
      <c r="I79" s="4">
        <v>172.26</v>
      </c>
      <c r="J79" s="14">
        <f t="shared" ca="1" si="4"/>
        <v>46304.581336574076</v>
      </c>
      <c r="K79" s="7" t="str">
        <f t="shared" si="5"/>
        <v>Aug-2024</v>
      </c>
      <c r="L79" s="15">
        <f>I79-E79*('What-If'!$B$2-G79)</f>
        <v>146.35649999999998</v>
      </c>
    </row>
    <row r="80" spans="1:12" x14ac:dyDescent="0.3">
      <c r="A80" s="2" t="s">
        <v>41</v>
      </c>
      <c r="B80" s="2" t="s">
        <v>40</v>
      </c>
      <c r="C80" s="2" t="s">
        <v>17</v>
      </c>
      <c r="D80" s="2" t="s">
        <v>18</v>
      </c>
      <c r="E80" s="4">
        <v>1111.3399999999999</v>
      </c>
      <c r="F80" s="2">
        <v>1</v>
      </c>
      <c r="G80" s="5">
        <v>0</v>
      </c>
      <c r="H80" s="3">
        <v>45523</v>
      </c>
      <c r="I80" s="4">
        <v>500.1</v>
      </c>
      <c r="J80" s="14">
        <f t="shared" ca="1" si="4"/>
        <v>46304.581336574076</v>
      </c>
      <c r="K80" s="7" t="str">
        <f t="shared" si="5"/>
        <v>Aug-2024</v>
      </c>
      <c r="L80" s="15">
        <f>I80-E80*('What-If'!$B$2-G80)</f>
        <v>388.96600000000001</v>
      </c>
    </row>
    <row r="81" spans="1:12" x14ac:dyDescent="0.3">
      <c r="A81" s="2" t="s">
        <v>35</v>
      </c>
      <c r="B81" s="2" t="s">
        <v>42</v>
      </c>
      <c r="C81" s="2" t="s">
        <v>11</v>
      </c>
      <c r="D81" s="2" t="s">
        <v>12</v>
      </c>
      <c r="E81" s="4">
        <v>1291.47</v>
      </c>
      <c r="F81" s="2">
        <v>18</v>
      </c>
      <c r="G81" s="5">
        <v>0.1</v>
      </c>
      <c r="H81" s="3">
        <v>45526</v>
      </c>
      <c r="I81" s="4">
        <v>581.16</v>
      </c>
      <c r="J81" s="14">
        <f t="shared" ca="1" si="4"/>
        <v>46304.581336574076</v>
      </c>
      <c r="K81" s="7" t="str">
        <f t="shared" si="5"/>
        <v>Aug-2024</v>
      </c>
      <c r="L81" s="15">
        <f>I81-E81*('What-If'!$B$2-G81)</f>
        <v>581.16</v>
      </c>
    </row>
    <row r="82" spans="1:12" x14ac:dyDescent="0.3">
      <c r="A82" s="2" t="s">
        <v>37</v>
      </c>
      <c r="B82" s="2" t="s">
        <v>64</v>
      </c>
      <c r="C82" s="2" t="s">
        <v>13</v>
      </c>
      <c r="D82" s="2" t="s">
        <v>10</v>
      </c>
      <c r="E82" s="4">
        <v>679.71</v>
      </c>
      <c r="F82" s="2">
        <v>19</v>
      </c>
      <c r="G82" s="5">
        <v>0</v>
      </c>
      <c r="H82" s="3">
        <v>45534</v>
      </c>
      <c r="I82" s="4">
        <v>271.88</v>
      </c>
      <c r="J82" s="14">
        <f t="shared" ca="1" si="4"/>
        <v>46304.581336574076</v>
      </c>
      <c r="K82" s="7" t="str">
        <f t="shared" si="5"/>
        <v>Aug-2024</v>
      </c>
      <c r="L82" s="15">
        <f>I82-E82*('What-If'!$B$2-G82)</f>
        <v>203.90899999999999</v>
      </c>
    </row>
    <row r="83" spans="1:12" x14ac:dyDescent="0.3">
      <c r="A83" s="2" t="s">
        <v>77</v>
      </c>
      <c r="B83" s="2" t="s">
        <v>44</v>
      </c>
      <c r="C83" s="2" t="s">
        <v>11</v>
      </c>
      <c r="D83" s="2" t="s">
        <v>16</v>
      </c>
      <c r="E83" s="4">
        <v>1143.69</v>
      </c>
      <c r="F83" s="2">
        <v>17</v>
      </c>
      <c r="G83" s="5">
        <v>0</v>
      </c>
      <c r="H83" s="3">
        <v>45534</v>
      </c>
      <c r="I83" s="4">
        <v>400.29</v>
      </c>
      <c r="J83" s="14">
        <f t="shared" ca="1" si="4"/>
        <v>46304.581336574076</v>
      </c>
      <c r="K83" s="7" t="str">
        <f t="shared" si="5"/>
        <v>Aug-2024</v>
      </c>
      <c r="L83" s="15">
        <f>I83-E83*('What-If'!$B$2-G83)</f>
        <v>285.92099999999999</v>
      </c>
    </row>
    <row r="84" spans="1:12" x14ac:dyDescent="0.3">
      <c r="A84" s="2" t="s">
        <v>61</v>
      </c>
      <c r="B84" s="2" t="s">
        <v>59</v>
      </c>
      <c r="C84" s="2" t="s">
        <v>9</v>
      </c>
      <c r="D84" s="2" t="s">
        <v>14</v>
      </c>
      <c r="E84" s="4">
        <v>790.08</v>
      </c>
      <c r="F84" s="2">
        <v>7</v>
      </c>
      <c r="G84" s="5">
        <v>0.1</v>
      </c>
      <c r="H84" s="3">
        <v>45536</v>
      </c>
      <c r="I84" s="4">
        <v>177.77</v>
      </c>
      <c r="J84" s="14">
        <f t="shared" ca="1" si="4"/>
        <v>46304.581336574076</v>
      </c>
      <c r="K84" s="7" t="str">
        <f t="shared" si="5"/>
        <v>Sep-2024</v>
      </c>
      <c r="L84" s="15">
        <f>I84-E84*('What-If'!$B$2-G84)</f>
        <v>177.77</v>
      </c>
    </row>
    <row r="85" spans="1:12" x14ac:dyDescent="0.3">
      <c r="A85" s="2" t="s">
        <v>34</v>
      </c>
      <c r="B85" s="2" t="s">
        <v>57</v>
      </c>
      <c r="C85" s="2" t="s">
        <v>9</v>
      </c>
      <c r="D85" s="2" t="s">
        <v>10</v>
      </c>
      <c r="E85" s="4">
        <v>1070.68</v>
      </c>
      <c r="F85" s="2">
        <v>7</v>
      </c>
      <c r="G85" s="5">
        <v>0.05</v>
      </c>
      <c r="H85" s="3">
        <v>45536</v>
      </c>
      <c r="I85" s="4">
        <v>406.86</v>
      </c>
      <c r="J85" s="14">
        <f t="shared" ca="1" si="4"/>
        <v>46304.581336574076</v>
      </c>
      <c r="K85" s="7" t="str">
        <f t="shared" si="5"/>
        <v>Sep-2024</v>
      </c>
      <c r="L85" s="15">
        <f>I85-E85*('What-If'!$B$2-G85)</f>
        <v>353.32600000000002</v>
      </c>
    </row>
    <row r="86" spans="1:12" x14ac:dyDescent="0.3">
      <c r="A86" s="2" t="s">
        <v>67</v>
      </c>
      <c r="B86" s="2" t="s">
        <v>46</v>
      </c>
      <c r="C86" s="2" t="s">
        <v>17</v>
      </c>
      <c r="D86" s="2" t="s">
        <v>12</v>
      </c>
      <c r="E86" s="4">
        <v>1168.8900000000001</v>
      </c>
      <c r="F86" s="2">
        <v>4</v>
      </c>
      <c r="G86" s="5">
        <v>0.1</v>
      </c>
      <c r="H86" s="3">
        <v>45544</v>
      </c>
      <c r="I86" s="4">
        <v>526</v>
      </c>
      <c r="J86" s="14">
        <f t="shared" ca="1" si="4"/>
        <v>46304.581336574076</v>
      </c>
      <c r="K86" s="7" t="str">
        <f t="shared" si="5"/>
        <v>Sep-2024</v>
      </c>
      <c r="L86" s="15">
        <f>I86-E86*('What-If'!$B$2-G86)</f>
        <v>526</v>
      </c>
    </row>
    <row r="87" spans="1:12" x14ac:dyDescent="0.3">
      <c r="A87" s="2" t="s">
        <v>76</v>
      </c>
      <c r="B87" s="2" t="s">
        <v>29</v>
      </c>
      <c r="C87" s="2" t="s">
        <v>15</v>
      </c>
      <c r="D87" s="2" t="s">
        <v>14</v>
      </c>
      <c r="E87" s="4">
        <v>1335.87</v>
      </c>
      <c r="F87" s="2">
        <v>17</v>
      </c>
      <c r="G87" s="5">
        <v>0</v>
      </c>
      <c r="H87" s="3">
        <v>45544</v>
      </c>
      <c r="I87" s="4">
        <v>333.97</v>
      </c>
      <c r="J87" s="14">
        <f t="shared" ca="1" si="4"/>
        <v>46304.581336574076</v>
      </c>
      <c r="K87" s="7" t="str">
        <f t="shared" si="5"/>
        <v>Sep-2024</v>
      </c>
      <c r="L87" s="15">
        <f>I87-E87*('What-If'!$B$2-G87)</f>
        <v>200.38300000000004</v>
      </c>
    </row>
    <row r="88" spans="1:12" x14ac:dyDescent="0.3">
      <c r="A88" s="2" t="s">
        <v>49</v>
      </c>
      <c r="B88" s="2" t="s">
        <v>64</v>
      </c>
      <c r="C88" s="2" t="s">
        <v>11</v>
      </c>
      <c r="D88" s="2" t="s">
        <v>16</v>
      </c>
      <c r="E88" s="4">
        <v>873.7</v>
      </c>
      <c r="F88" s="2">
        <v>9</v>
      </c>
      <c r="G88" s="5">
        <v>0</v>
      </c>
      <c r="H88" s="3">
        <v>45546</v>
      </c>
      <c r="I88" s="4">
        <v>305.8</v>
      </c>
      <c r="J88" s="14">
        <f t="shared" ca="1" si="4"/>
        <v>46304.581336574076</v>
      </c>
      <c r="K88" s="7" t="str">
        <f t="shared" si="5"/>
        <v>Sep-2024</v>
      </c>
      <c r="L88" s="15">
        <f>I88-E88*('What-If'!$B$2-G88)</f>
        <v>218.43</v>
      </c>
    </row>
    <row r="89" spans="1:12" x14ac:dyDescent="0.3">
      <c r="A89" s="2" t="s">
        <v>81</v>
      </c>
      <c r="B89" s="2" t="s">
        <v>73</v>
      </c>
      <c r="C89" s="2" t="s">
        <v>17</v>
      </c>
      <c r="D89" s="2" t="s">
        <v>18</v>
      </c>
      <c r="E89" s="4">
        <v>1443.98</v>
      </c>
      <c r="F89" s="2">
        <v>19</v>
      </c>
      <c r="G89" s="5">
        <v>0</v>
      </c>
      <c r="H89" s="3">
        <v>45547</v>
      </c>
      <c r="I89" s="4">
        <v>649.79</v>
      </c>
      <c r="J89" s="14">
        <f t="shared" ca="1" si="4"/>
        <v>46304.581336574076</v>
      </c>
      <c r="K89" s="7" t="str">
        <f t="shared" si="5"/>
        <v>Sep-2024</v>
      </c>
      <c r="L89" s="15">
        <f>I89-E89*('What-If'!$B$2-G89)</f>
        <v>505.39199999999994</v>
      </c>
    </row>
    <row r="90" spans="1:12" x14ac:dyDescent="0.3">
      <c r="A90" s="2" t="s">
        <v>49</v>
      </c>
      <c r="B90" s="2" t="s">
        <v>36</v>
      </c>
      <c r="C90" s="2" t="s">
        <v>11</v>
      </c>
      <c r="D90" s="2" t="s">
        <v>18</v>
      </c>
      <c r="E90" s="4">
        <v>1154.33</v>
      </c>
      <c r="F90" s="2">
        <v>11</v>
      </c>
      <c r="G90" s="5">
        <v>0.15</v>
      </c>
      <c r="H90" s="3">
        <v>45549</v>
      </c>
      <c r="I90" s="4">
        <v>441.53</v>
      </c>
      <c r="J90" s="14">
        <f t="shared" ca="1" si="4"/>
        <v>46304.581336574076</v>
      </c>
      <c r="K90" s="7" t="str">
        <f t="shared" si="5"/>
        <v>Sep-2024</v>
      </c>
      <c r="L90" s="15">
        <f>I90-E90*('What-If'!$B$2-G90)</f>
        <v>499.24649999999997</v>
      </c>
    </row>
    <row r="91" spans="1:12" x14ac:dyDescent="0.3">
      <c r="A91" s="2" t="s">
        <v>58</v>
      </c>
      <c r="B91" s="2" t="s">
        <v>59</v>
      </c>
      <c r="C91" s="2" t="s">
        <v>15</v>
      </c>
      <c r="D91" s="2" t="s">
        <v>10</v>
      </c>
      <c r="E91" s="4">
        <v>1264.49</v>
      </c>
      <c r="F91" s="2">
        <v>16</v>
      </c>
      <c r="G91" s="5">
        <v>0.05</v>
      </c>
      <c r="H91" s="3">
        <v>45549</v>
      </c>
      <c r="I91" s="4">
        <v>480.51</v>
      </c>
      <c r="J91" s="14">
        <f t="shared" ca="1" si="4"/>
        <v>46304.581336574076</v>
      </c>
      <c r="K91" s="7" t="str">
        <f t="shared" si="5"/>
        <v>Sep-2024</v>
      </c>
      <c r="L91" s="15">
        <f>I91-E91*('What-If'!$B$2-G91)</f>
        <v>417.28549999999996</v>
      </c>
    </row>
    <row r="92" spans="1:12" x14ac:dyDescent="0.3">
      <c r="A92" s="2" t="s">
        <v>37</v>
      </c>
      <c r="B92" s="2" t="s">
        <v>75</v>
      </c>
      <c r="C92" s="2" t="s">
        <v>17</v>
      </c>
      <c r="D92" s="2" t="s">
        <v>16</v>
      </c>
      <c r="E92" s="4">
        <v>1101.55</v>
      </c>
      <c r="F92" s="2">
        <v>4</v>
      </c>
      <c r="G92" s="5">
        <v>0.1</v>
      </c>
      <c r="H92" s="3">
        <v>45551</v>
      </c>
      <c r="I92" s="4">
        <v>346.99</v>
      </c>
      <c r="J92" s="14">
        <f t="shared" ca="1" si="4"/>
        <v>46304.581336574076</v>
      </c>
      <c r="K92" s="7" t="str">
        <f t="shared" si="5"/>
        <v>Sep-2024</v>
      </c>
      <c r="L92" s="15">
        <f>I92-E92*('What-If'!$B$2-G92)</f>
        <v>346.99</v>
      </c>
    </row>
    <row r="93" spans="1:12" x14ac:dyDescent="0.3">
      <c r="A93" s="2" t="s">
        <v>82</v>
      </c>
      <c r="B93" s="2" t="s">
        <v>31</v>
      </c>
      <c r="C93" s="2" t="s">
        <v>15</v>
      </c>
      <c r="D93" s="2" t="s">
        <v>16</v>
      </c>
      <c r="E93" s="4">
        <v>727.73</v>
      </c>
      <c r="F93" s="2">
        <v>1</v>
      </c>
      <c r="G93" s="5">
        <v>0.1</v>
      </c>
      <c r="H93" s="3">
        <v>45552</v>
      </c>
      <c r="I93" s="4">
        <v>229.23</v>
      </c>
      <c r="J93" s="14">
        <f t="shared" ca="1" si="4"/>
        <v>46304.581336574076</v>
      </c>
      <c r="K93" s="7" t="str">
        <f t="shared" si="5"/>
        <v>Sep-2024</v>
      </c>
      <c r="L93" s="15">
        <f>I93-E93*('What-If'!$B$2-G93)</f>
        <v>229.23</v>
      </c>
    </row>
    <row r="94" spans="1:12" x14ac:dyDescent="0.3">
      <c r="A94" s="2" t="s">
        <v>83</v>
      </c>
      <c r="B94" s="2" t="s">
        <v>48</v>
      </c>
      <c r="C94" s="2" t="s">
        <v>11</v>
      </c>
      <c r="D94" s="2" t="s">
        <v>18</v>
      </c>
      <c r="E94" s="4">
        <v>875.41</v>
      </c>
      <c r="F94" s="2">
        <v>13</v>
      </c>
      <c r="G94" s="5">
        <v>0.15</v>
      </c>
      <c r="H94" s="3">
        <v>45552</v>
      </c>
      <c r="I94" s="4">
        <v>334.84</v>
      </c>
      <c r="J94" s="14">
        <f t="shared" ca="1" si="4"/>
        <v>46304.581336574076</v>
      </c>
      <c r="K94" s="7" t="str">
        <f t="shared" si="5"/>
        <v>Sep-2024</v>
      </c>
      <c r="L94" s="15">
        <f>I94-E94*('What-If'!$B$2-G94)</f>
        <v>378.61049999999994</v>
      </c>
    </row>
    <row r="95" spans="1:12" x14ac:dyDescent="0.3">
      <c r="A95" s="2" t="s">
        <v>76</v>
      </c>
      <c r="B95" s="2" t="s">
        <v>36</v>
      </c>
      <c r="C95" s="2" t="s">
        <v>17</v>
      </c>
      <c r="D95" s="2" t="s">
        <v>14</v>
      </c>
      <c r="E95" s="4">
        <v>1158.94</v>
      </c>
      <c r="F95" s="2">
        <v>19</v>
      </c>
      <c r="G95" s="5">
        <v>0.2</v>
      </c>
      <c r="H95" s="3">
        <v>45553</v>
      </c>
      <c r="I95" s="4">
        <v>231.79</v>
      </c>
      <c r="J95" s="14">
        <f t="shared" ca="1" si="4"/>
        <v>46304.581336574076</v>
      </c>
      <c r="K95" s="7" t="str">
        <f t="shared" si="5"/>
        <v>Sep-2024</v>
      </c>
      <c r="L95" s="15">
        <f>I95-E95*('What-If'!$B$2-G95)</f>
        <v>347.68399999999997</v>
      </c>
    </row>
    <row r="96" spans="1:12" x14ac:dyDescent="0.3">
      <c r="A96" s="2" t="s">
        <v>84</v>
      </c>
      <c r="B96" s="2" t="s">
        <v>56</v>
      </c>
      <c r="C96" s="2" t="s">
        <v>15</v>
      </c>
      <c r="D96" s="2" t="s">
        <v>10</v>
      </c>
      <c r="E96" s="4">
        <v>966.3</v>
      </c>
      <c r="F96" s="2">
        <v>2</v>
      </c>
      <c r="G96" s="5">
        <v>0.15</v>
      </c>
      <c r="H96" s="3">
        <v>45557</v>
      </c>
      <c r="I96" s="4">
        <v>328.54</v>
      </c>
      <c r="J96" s="14">
        <f t="shared" ca="1" si="4"/>
        <v>46304.581336574076</v>
      </c>
      <c r="K96" s="7" t="str">
        <f t="shared" si="5"/>
        <v>Sep-2024</v>
      </c>
      <c r="L96" s="15">
        <f>I96-E96*('What-If'!$B$2-G96)</f>
        <v>376.85500000000002</v>
      </c>
    </row>
    <row r="97" spans="1:12" x14ac:dyDescent="0.3">
      <c r="A97" s="2" t="s">
        <v>77</v>
      </c>
      <c r="B97" s="2" t="s">
        <v>33</v>
      </c>
      <c r="C97" s="2" t="s">
        <v>15</v>
      </c>
      <c r="D97" s="2" t="s">
        <v>10</v>
      </c>
      <c r="E97" s="4">
        <v>917.48</v>
      </c>
      <c r="F97" s="2">
        <v>6</v>
      </c>
      <c r="G97" s="5">
        <v>0</v>
      </c>
      <c r="H97" s="3">
        <v>45558</v>
      </c>
      <c r="I97" s="4">
        <v>366.99</v>
      </c>
      <c r="J97" s="14">
        <f t="shared" ca="1" si="4"/>
        <v>46304.581336574076</v>
      </c>
      <c r="K97" s="7" t="str">
        <f t="shared" si="5"/>
        <v>Sep-2024</v>
      </c>
      <c r="L97" s="15">
        <f>I97-E97*('What-If'!$B$2-G97)</f>
        <v>275.24200000000002</v>
      </c>
    </row>
    <row r="98" spans="1:12" x14ac:dyDescent="0.3">
      <c r="A98" s="2" t="s">
        <v>50</v>
      </c>
      <c r="B98" s="2" t="s">
        <v>70</v>
      </c>
      <c r="C98" s="2" t="s">
        <v>17</v>
      </c>
      <c r="D98" s="2" t="s">
        <v>16</v>
      </c>
      <c r="E98" s="4">
        <v>1172.97</v>
      </c>
      <c r="F98" s="2">
        <v>7</v>
      </c>
      <c r="G98" s="5">
        <v>0.15</v>
      </c>
      <c r="H98" s="3">
        <v>45559</v>
      </c>
      <c r="I98" s="4">
        <v>348.96</v>
      </c>
      <c r="J98" s="14">
        <f t="shared" ref="J98:J129" ca="1" si="6">NOW()</f>
        <v>46304.581336574076</v>
      </c>
      <c r="K98" s="7" t="str">
        <f t="shared" ref="K98:K129" si="7">TEXT(H98,"mmm-yyyy")</f>
        <v>Sep-2024</v>
      </c>
      <c r="L98" s="15">
        <f>I98-E98*('What-If'!$B$2-G98)</f>
        <v>407.60849999999999</v>
      </c>
    </row>
    <row r="99" spans="1:12" x14ac:dyDescent="0.3">
      <c r="A99" s="2" t="s">
        <v>66</v>
      </c>
      <c r="B99" s="2" t="s">
        <v>36</v>
      </c>
      <c r="C99" s="2" t="s">
        <v>13</v>
      </c>
      <c r="D99" s="2" t="s">
        <v>12</v>
      </c>
      <c r="E99" s="4">
        <v>1205.82</v>
      </c>
      <c r="F99" s="2">
        <v>11</v>
      </c>
      <c r="G99" s="5">
        <v>0.1</v>
      </c>
      <c r="H99" s="3">
        <v>45559</v>
      </c>
      <c r="I99" s="4">
        <v>542.62</v>
      </c>
      <c r="J99" s="14">
        <f t="shared" ca="1" si="6"/>
        <v>46304.581336574076</v>
      </c>
      <c r="K99" s="7" t="str">
        <f t="shared" si="7"/>
        <v>Sep-2024</v>
      </c>
      <c r="L99" s="15">
        <f>I99-E99*('What-If'!$B$2-G99)</f>
        <v>542.62</v>
      </c>
    </row>
    <row r="100" spans="1:12" x14ac:dyDescent="0.3">
      <c r="A100" s="2" t="s">
        <v>32</v>
      </c>
      <c r="B100" s="2" t="s">
        <v>73</v>
      </c>
      <c r="C100" s="2" t="s">
        <v>17</v>
      </c>
      <c r="D100" s="2" t="s">
        <v>18</v>
      </c>
      <c r="E100" s="4">
        <v>826.93</v>
      </c>
      <c r="F100" s="2">
        <v>10</v>
      </c>
      <c r="G100" s="5">
        <v>0.2</v>
      </c>
      <c r="H100" s="3">
        <v>45564</v>
      </c>
      <c r="I100" s="4">
        <v>297.69</v>
      </c>
      <c r="J100" s="14">
        <f t="shared" ca="1" si="6"/>
        <v>46304.581336574076</v>
      </c>
      <c r="K100" s="7" t="str">
        <f t="shared" si="7"/>
        <v>Sep-2024</v>
      </c>
      <c r="L100" s="15">
        <f>I100-E100*('What-If'!$B$2-G100)</f>
        <v>380.38299999999998</v>
      </c>
    </row>
    <row r="101" spans="1:12" x14ac:dyDescent="0.3">
      <c r="A101" s="2" t="s">
        <v>76</v>
      </c>
      <c r="B101" s="2" t="s">
        <v>36</v>
      </c>
      <c r="C101" s="2" t="s">
        <v>9</v>
      </c>
      <c r="D101" s="2" t="s">
        <v>12</v>
      </c>
      <c r="E101" s="4">
        <v>902.19</v>
      </c>
      <c r="F101" s="2">
        <v>12</v>
      </c>
      <c r="G101" s="5">
        <v>0</v>
      </c>
      <c r="H101" s="3">
        <v>45564</v>
      </c>
      <c r="I101" s="4">
        <v>451.1</v>
      </c>
      <c r="J101" s="14">
        <f t="shared" ca="1" si="6"/>
        <v>46304.581336574076</v>
      </c>
      <c r="K101" s="7" t="str">
        <f t="shared" si="7"/>
        <v>Sep-2024</v>
      </c>
      <c r="L101" s="15">
        <f>I101-E101*('What-If'!$B$2-G101)</f>
        <v>360.88100000000003</v>
      </c>
    </row>
    <row r="102" spans="1:12" x14ac:dyDescent="0.3">
      <c r="A102" s="2" t="s">
        <v>83</v>
      </c>
      <c r="B102" s="2" t="s">
        <v>48</v>
      </c>
      <c r="C102" s="2" t="s">
        <v>13</v>
      </c>
      <c r="D102" s="2" t="s">
        <v>10</v>
      </c>
      <c r="E102" s="4">
        <v>585.97</v>
      </c>
      <c r="F102" s="2">
        <v>17</v>
      </c>
      <c r="G102" s="5">
        <v>0.1</v>
      </c>
      <c r="H102" s="3">
        <v>45565</v>
      </c>
      <c r="I102" s="4">
        <v>210.95</v>
      </c>
      <c r="J102" s="14">
        <f t="shared" ca="1" si="6"/>
        <v>46304.581336574076</v>
      </c>
      <c r="K102" s="7" t="str">
        <f t="shared" si="7"/>
        <v>Sep-2024</v>
      </c>
      <c r="L102" s="15">
        <f>I102-E102*('What-If'!$B$2-G102)</f>
        <v>210.95</v>
      </c>
    </row>
    <row r="103" spans="1:12" x14ac:dyDescent="0.3">
      <c r="A103" s="2" t="s">
        <v>69</v>
      </c>
      <c r="B103" s="2" t="s">
        <v>38</v>
      </c>
      <c r="C103" s="2" t="s">
        <v>13</v>
      </c>
      <c r="D103" s="2" t="s">
        <v>12</v>
      </c>
      <c r="E103" s="4">
        <v>990.19</v>
      </c>
      <c r="F103" s="2">
        <v>8</v>
      </c>
      <c r="G103" s="5">
        <v>0.1</v>
      </c>
      <c r="H103" s="3">
        <v>45565</v>
      </c>
      <c r="I103" s="4">
        <v>445.59</v>
      </c>
      <c r="J103" s="14">
        <f t="shared" ca="1" si="6"/>
        <v>46304.581336574076</v>
      </c>
      <c r="K103" s="7" t="str">
        <f t="shared" si="7"/>
        <v>Sep-2024</v>
      </c>
      <c r="L103" s="15">
        <f>I103-E103*('What-If'!$B$2-G103)</f>
        <v>445.59</v>
      </c>
    </row>
    <row r="104" spans="1:12" x14ac:dyDescent="0.3">
      <c r="A104" s="2" t="s">
        <v>53</v>
      </c>
      <c r="B104" s="2" t="s">
        <v>65</v>
      </c>
      <c r="C104" s="2" t="s">
        <v>9</v>
      </c>
      <c r="D104" s="2" t="s">
        <v>14</v>
      </c>
      <c r="E104" s="4">
        <v>1014.09</v>
      </c>
      <c r="F104" s="2">
        <v>13</v>
      </c>
      <c r="G104" s="5">
        <v>0.2</v>
      </c>
      <c r="H104" s="3">
        <v>45567</v>
      </c>
      <c r="I104" s="4">
        <v>202.82</v>
      </c>
      <c r="J104" s="14">
        <f t="shared" ca="1" si="6"/>
        <v>46304.581336574076</v>
      </c>
      <c r="K104" s="7" t="str">
        <f t="shared" si="7"/>
        <v>Oct-2024</v>
      </c>
      <c r="L104" s="15">
        <f>I104-E104*('What-If'!$B$2-G104)</f>
        <v>304.22899999999998</v>
      </c>
    </row>
    <row r="105" spans="1:12" x14ac:dyDescent="0.3">
      <c r="A105" s="2" t="s">
        <v>30</v>
      </c>
      <c r="B105" s="2" t="s">
        <v>57</v>
      </c>
      <c r="C105" s="2" t="s">
        <v>13</v>
      </c>
      <c r="D105" s="2" t="s">
        <v>14</v>
      </c>
      <c r="E105" s="4">
        <v>925.29</v>
      </c>
      <c r="F105" s="2">
        <v>17</v>
      </c>
      <c r="G105" s="5">
        <v>0</v>
      </c>
      <c r="H105" s="3">
        <v>45570</v>
      </c>
      <c r="I105" s="4">
        <v>231.32</v>
      </c>
      <c r="J105" s="14">
        <f t="shared" ca="1" si="6"/>
        <v>46304.581336574076</v>
      </c>
      <c r="K105" s="7" t="str">
        <f t="shared" si="7"/>
        <v>Oct-2024</v>
      </c>
      <c r="L105" s="15">
        <f>I105-E105*('What-If'!$B$2-G105)</f>
        <v>138.791</v>
      </c>
    </row>
    <row r="106" spans="1:12" x14ac:dyDescent="0.3">
      <c r="A106" s="2" t="s">
        <v>63</v>
      </c>
      <c r="B106" s="2" t="s">
        <v>56</v>
      </c>
      <c r="C106" s="2" t="s">
        <v>11</v>
      </c>
      <c r="D106" s="2" t="s">
        <v>16</v>
      </c>
      <c r="E106" s="4">
        <v>1286.54</v>
      </c>
      <c r="F106" s="2">
        <v>8</v>
      </c>
      <c r="G106" s="5">
        <v>0</v>
      </c>
      <c r="H106" s="3">
        <v>45575</v>
      </c>
      <c r="I106" s="4">
        <v>450.29</v>
      </c>
      <c r="J106" s="14">
        <f t="shared" ca="1" si="6"/>
        <v>46304.581336574076</v>
      </c>
      <c r="K106" s="7" t="str">
        <f t="shared" si="7"/>
        <v>Oct-2024</v>
      </c>
      <c r="L106" s="15">
        <f>I106-E106*('What-If'!$B$2-G106)</f>
        <v>321.63600000000002</v>
      </c>
    </row>
    <row r="107" spans="1:12" x14ac:dyDescent="0.3">
      <c r="A107" s="2" t="s">
        <v>47</v>
      </c>
      <c r="B107" s="2" t="s">
        <v>73</v>
      </c>
      <c r="C107" s="2" t="s">
        <v>15</v>
      </c>
      <c r="D107" s="2" t="s">
        <v>10</v>
      </c>
      <c r="E107" s="4">
        <v>961.62</v>
      </c>
      <c r="F107" s="2">
        <v>8</v>
      </c>
      <c r="G107" s="5">
        <v>0.2</v>
      </c>
      <c r="H107" s="3">
        <v>45577</v>
      </c>
      <c r="I107" s="4">
        <v>307.72000000000003</v>
      </c>
      <c r="J107" s="14">
        <f t="shared" ca="1" si="6"/>
        <v>46304.581336574076</v>
      </c>
      <c r="K107" s="7" t="str">
        <f t="shared" si="7"/>
        <v>Oct-2024</v>
      </c>
      <c r="L107" s="15">
        <f>I107-E107*('What-If'!$B$2-G107)</f>
        <v>403.88200000000006</v>
      </c>
    </row>
    <row r="108" spans="1:12" x14ac:dyDescent="0.3">
      <c r="A108" s="2" t="s">
        <v>53</v>
      </c>
      <c r="B108" s="2" t="s">
        <v>36</v>
      </c>
      <c r="C108" s="2" t="s">
        <v>11</v>
      </c>
      <c r="D108" s="2" t="s">
        <v>10</v>
      </c>
      <c r="E108" s="4">
        <v>1081.1400000000001</v>
      </c>
      <c r="F108" s="2">
        <v>19</v>
      </c>
      <c r="G108" s="5">
        <v>0.15</v>
      </c>
      <c r="H108" s="3">
        <v>45577</v>
      </c>
      <c r="I108" s="4">
        <v>367.59</v>
      </c>
      <c r="J108" s="14">
        <f t="shared" ca="1" si="6"/>
        <v>46304.581336574076</v>
      </c>
      <c r="K108" s="7" t="str">
        <f t="shared" si="7"/>
        <v>Oct-2024</v>
      </c>
      <c r="L108" s="15">
        <f>I108-E108*('What-If'!$B$2-G108)</f>
        <v>421.64699999999999</v>
      </c>
    </row>
    <row r="109" spans="1:12" x14ac:dyDescent="0.3">
      <c r="A109" s="2" t="s">
        <v>67</v>
      </c>
      <c r="B109" s="2" t="s">
        <v>36</v>
      </c>
      <c r="C109" s="2" t="s">
        <v>17</v>
      </c>
      <c r="D109" s="2" t="s">
        <v>12</v>
      </c>
      <c r="E109" s="4">
        <v>1923.66</v>
      </c>
      <c r="F109" s="2">
        <v>9</v>
      </c>
      <c r="G109" s="5">
        <v>0.2</v>
      </c>
      <c r="H109" s="3">
        <v>45580</v>
      </c>
      <c r="I109" s="4">
        <v>769.46</v>
      </c>
      <c r="J109" s="14">
        <f t="shared" ca="1" si="6"/>
        <v>46304.581336574076</v>
      </c>
      <c r="K109" s="7" t="str">
        <f t="shared" si="7"/>
        <v>Oct-2024</v>
      </c>
      <c r="L109" s="15">
        <f>I109-E109*('What-If'!$B$2-G109)</f>
        <v>961.82600000000002</v>
      </c>
    </row>
    <row r="110" spans="1:12" x14ac:dyDescent="0.3">
      <c r="A110" s="2" t="s">
        <v>63</v>
      </c>
      <c r="B110" s="2" t="s">
        <v>75</v>
      </c>
      <c r="C110" s="2" t="s">
        <v>9</v>
      </c>
      <c r="D110" s="2" t="s">
        <v>12</v>
      </c>
      <c r="E110" s="4">
        <v>728.71</v>
      </c>
      <c r="F110" s="2">
        <v>14</v>
      </c>
      <c r="G110" s="5">
        <v>0.1</v>
      </c>
      <c r="H110" s="3">
        <v>45581</v>
      </c>
      <c r="I110" s="4">
        <v>327.92</v>
      </c>
      <c r="J110" s="14">
        <f t="shared" ca="1" si="6"/>
        <v>46304.581336574076</v>
      </c>
      <c r="K110" s="7" t="str">
        <f t="shared" si="7"/>
        <v>Oct-2024</v>
      </c>
      <c r="L110" s="15">
        <f>I110-E110*('What-If'!$B$2-G110)</f>
        <v>327.92</v>
      </c>
    </row>
    <row r="111" spans="1:12" x14ac:dyDescent="0.3">
      <c r="A111" s="2" t="s">
        <v>28</v>
      </c>
      <c r="B111" s="2" t="s">
        <v>44</v>
      </c>
      <c r="C111" s="2" t="s">
        <v>9</v>
      </c>
      <c r="D111" s="2" t="s">
        <v>12</v>
      </c>
      <c r="E111" s="4">
        <v>1301.8900000000001</v>
      </c>
      <c r="F111" s="2">
        <v>7</v>
      </c>
      <c r="G111" s="5">
        <v>0.15</v>
      </c>
      <c r="H111" s="3">
        <v>45581</v>
      </c>
      <c r="I111" s="4">
        <v>553.29999999999995</v>
      </c>
      <c r="J111" s="14">
        <f t="shared" ca="1" si="6"/>
        <v>46304.581336574076</v>
      </c>
      <c r="K111" s="7" t="str">
        <f t="shared" si="7"/>
        <v>Oct-2024</v>
      </c>
      <c r="L111" s="15">
        <f>I111-E111*('What-If'!$B$2-G111)</f>
        <v>618.39449999999999</v>
      </c>
    </row>
    <row r="112" spans="1:12" x14ac:dyDescent="0.3">
      <c r="A112" s="2" t="s">
        <v>79</v>
      </c>
      <c r="B112" s="2" t="s">
        <v>75</v>
      </c>
      <c r="C112" s="2" t="s">
        <v>11</v>
      </c>
      <c r="D112" s="2" t="s">
        <v>10</v>
      </c>
      <c r="E112" s="4">
        <v>980.18</v>
      </c>
      <c r="F112" s="2">
        <v>16</v>
      </c>
      <c r="G112" s="5">
        <v>0.1</v>
      </c>
      <c r="H112" s="3">
        <v>45582</v>
      </c>
      <c r="I112" s="4">
        <v>352.86</v>
      </c>
      <c r="J112" s="14">
        <f t="shared" ca="1" si="6"/>
        <v>46304.581336574076</v>
      </c>
      <c r="K112" s="7" t="str">
        <f t="shared" si="7"/>
        <v>Oct-2024</v>
      </c>
      <c r="L112" s="15">
        <f>I112-E112*('What-If'!$B$2-G112)</f>
        <v>352.86</v>
      </c>
    </row>
    <row r="113" spans="1:12" x14ac:dyDescent="0.3">
      <c r="A113" s="2" t="s">
        <v>83</v>
      </c>
      <c r="B113" s="2" t="s">
        <v>36</v>
      </c>
      <c r="C113" s="2" t="s">
        <v>17</v>
      </c>
      <c r="D113" s="2" t="s">
        <v>12</v>
      </c>
      <c r="E113" s="4">
        <v>697.57</v>
      </c>
      <c r="F113" s="2">
        <v>17</v>
      </c>
      <c r="G113" s="5">
        <v>0.1</v>
      </c>
      <c r="H113" s="3">
        <v>45584</v>
      </c>
      <c r="I113" s="4">
        <v>313.91000000000003</v>
      </c>
      <c r="J113" s="14">
        <f t="shared" ca="1" si="6"/>
        <v>46304.581336574076</v>
      </c>
      <c r="K113" s="7" t="str">
        <f t="shared" si="7"/>
        <v>Oct-2024</v>
      </c>
      <c r="L113" s="15">
        <f>I113-E113*('What-If'!$B$2-G113)</f>
        <v>313.91000000000003</v>
      </c>
    </row>
    <row r="114" spans="1:12" x14ac:dyDescent="0.3">
      <c r="A114" s="2" t="s">
        <v>55</v>
      </c>
      <c r="B114" s="2" t="s">
        <v>80</v>
      </c>
      <c r="C114" s="2" t="s">
        <v>17</v>
      </c>
      <c r="D114" s="2" t="s">
        <v>16</v>
      </c>
      <c r="E114" s="4">
        <v>1193.6099999999999</v>
      </c>
      <c r="F114" s="2">
        <v>1</v>
      </c>
      <c r="G114" s="5">
        <v>0.15</v>
      </c>
      <c r="H114" s="3">
        <v>45584</v>
      </c>
      <c r="I114" s="4">
        <v>355.1</v>
      </c>
      <c r="J114" s="14">
        <f t="shared" ca="1" si="6"/>
        <v>46304.581336574076</v>
      </c>
      <c r="K114" s="7" t="str">
        <f t="shared" si="7"/>
        <v>Oct-2024</v>
      </c>
      <c r="L114" s="15">
        <f>I114-E114*('What-If'!$B$2-G114)</f>
        <v>414.78050000000002</v>
      </c>
    </row>
    <row r="115" spans="1:12" x14ac:dyDescent="0.3">
      <c r="A115" s="2" t="s">
        <v>43</v>
      </c>
      <c r="B115" s="2" t="s">
        <v>48</v>
      </c>
      <c r="C115" s="2" t="s">
        <v>15</v>
      </c>
      <c r="D115" s="2" t="s">
        <v>14</v>
      </c>
      <c r="E115" s="4">
        <v>771.02</v>
      </c>
      <c r="F115" s="2">
        <v>1</v>
      </c>
      <c r="G115" s="5">
        <v>0</v>
      </c>
      <c r="H115" s="3">
        <v>45585</v>
      </c>
      <c r="I115" s="4">
        <v>192.76</v>
      </c>
      <c r="J115" s="14">
        <f t="shared" ca="1" si="6"/>
        <v>46304.581336574076</v>
      </c>
      <c r="K115" s="7" t="str">
        <f t="shared" si="7"/>
        <v>Oct-2024</v>
      </c>
      <c r="L115" s="15">
        <f>I115-E115*('What-If'!$B$2-G115)</f>
        <v>115.65799999999999</v>
      </c>
    </row>
    <row r="116" spans="1:12" x14ac:dyDescent="0.3">
      <c r="A116" s="2" t="s">
        <v>76</v>
      </c>
      <c r="B116" s="2" t="s">
        <v>78</v>
      </c>
      <c r="C116" s="2" t="s">
        <v>13</v>
      </c>
      <c r="D116" s="2" t="s">
        <v>12</v>
      </c>
      <c r="E116" s="4">
        <v>661.09</v>
      </c>
      <c r="F116" s="2">
        <v>1</v>
      </c>
      <c r="G116" s="5">
        <v>0.2</v>
      </c>
      <c r="H116" s="3">
        <v>45593</v>
      </c>
      <c r="I116" s="4">
        <v>264.44</v>
      </c>
      <c r="J116" s="14">
        <f t="shared" ca="1" si="6"/>
        <v>46304.581336574076</v>
      </c>
      <c r="K116" s="7" t="str">
        <f t="shared" si="7"/>
        <v>Oct-2024</v>
      </c>
      <c r="L116" s="15">
        <f>I116-E116*('What-If'!$B$2-G116)</f>
        <v>330.54899999999998</v>
      </c>
    </row>
    <row r="117" spans="1:12" x14ac:dyDescent="0.3">
      <c r="A117" s="2" t="s">
        <v>30</v>
      </c>
      <c r="B117" s="2" t="s">
        <v>64</v>
      </c>
      <c r="C117" s="2" t="s">
        <v>17</v>
      </c>
      <c r="D117" s="2" t="s">
        <v>14</v>
      </c>
      <c r="E117" s="4">
        <v>688.83</v>
      </c>
      <c r="F117" s="2">
        <v>15</v>
      </c>
      <c r="G117" s="5">
        <v>0</v>
      </c>
      <c r="H117" s="3">
        <v>45595</v>
      </c>
      <c r="I117" s="4">
        <v>172.21</v>
      </c>
      <c r="J117" s="14">
        <f t="shared" ca="1" si="6"/>
        <v>46304.581336574076</v>
      </c>
      <c r="K117" s="7" t="str">
        <f t="shared" si="7"/>
        <v>Oct-2024</v>
      </c>
      <c r="L117" s="15">
        <f>I117-E117*('What-If'!$B$2-G117)</f>
        <v>103.327</v>
      </c>
    </row>
    <row r="118" spans="1:12" x14ac:dyDescent="0.3">
      <c r="A118" s="2" t="s">
        <v>82</v>
      </c>
      <c r="B118" s="2" t="s">
        <v>40</v>
      </c>
      <c r="C118" s="2" t="s">
        <v>9</v>
      </c>
      <c r="D118" s="2" t="s">
        <v>10</v>
      </c>
      <c r="E118" s="4">
        <v>1249.0999999999999</v>
      </c>
      <c r="F118" s="2">
        <v>4</v>
      </c>
      <c r="G118" s="5">
        <v>0.05</v>
      </c>
      <c r="H118" s="3">
        <v>45597</v>
      </c>
      <c r="I118" s="4">
        <v>474.66</v>
      </c>
      <c r="J118" s="14">
        <f t="shared" ca="1" si="6"/>
        <v>46304.581336574076</v>
      </c>
      <c r="K118" s="7" t="str">
        <f t="shared" si="7"/>
        <v>Nov-2024</v>
      </c>
      <c r="L118" s="15">
        <f>I118-E118*('What-If'!$B$2-G118)</f>
        <v>412.20500000000004</v>
      </c>
    </row>
    <row r="119" spans="1:12" x14ac:dyDescent="0.3">
      <c r="A119" s="2" t="s">
        <v>53</v>
      </c>
      <c r="B119" s="2" t="s">
        <v>36</v>
      </c>
      <c r="C119" s="2" t="s">
        <v>11</v>
      </c>
      <c r="D119" s="2" t="s">
        <v>18</v>
      </c>
      <c r="E119" s="4">
        <v>1014.22</v>
      </c>
      <c r="F119" s="2">
        <v>14</v>
      </c>
      <c r="G119" s="5">
        <v>0.05</v>
      </c>
      <c r="H119" s="3">
        <v>45599</v>
      </c>
      <c r="I119" s="4">
        <v>433.58</v>
      </c>
      <c r="J119" s="14">
        <f t="shared" ca="1" si="6"/>
        <v>46304.581336574076</v>
      </c>
      <c r="K119" s="7" t="str">
        <f t="shared" si="7"/>
        <v>Nov-2024</v>
      </c>
      <c r="L119" s="15">
        <f>I119-E119*('What-If'!$B$2-G119)</f>
        <v>382.86899999999997</v>
      </c>
    </row>
    <row r="120" spans="1:12" x14ac:dyDescent="0.3">
      <c r="A120" s="2" t="s">
        <v>63</v>
      </c>
      <c r="B120" s="2" t="s">
        <v>57</v>
      </c>
      <c r="C120" s="2" t="s">
        <v>11</v>
      </c>
      <c r="D120" s="2" t="s">
        <v>10</v>
      </c>
      <c r="E120" s="4">
        <v>1010.58</v>
      </c>
      <c r="F120" s="2">
        <v>2</v>
      </c>
      <c r="G120" s="5">
        <v>0.15</v>
      </c>
      <c r="H120" s="3">
        <v>45605</v>
      </c>
      <c r="I120" s="4">
        <v>343.6</v>
      </c>
      <c r="J120" s="14">
        <f t="shared" ca="1" si="6"/>
        <v>46304.581336574076</v>
      </c>
      <c r="K120" s="7" t="str">
        <f t="shared" si="7"/>
        <v>Nov-2024</v>
      </c>
      <c r="L120" s="15">
        <f>I120-E120*('What-If'!$B$2-G120)</f>
        <v>394.12900000000002</v>
      </c>
    </row>
    <row r="121" spans="1:12" x14ac:dyDescent="0.3">
      <c r="A121" s="2" t="s">
        <v>41</v>
      </c>
      <c r="B121" s="2" t="s">
        <v>68</v>
      </c>
      <c r="C121" s="2" t="s">
        <v>13</v>
      </c>
      <c r="D121" s="2" t="s">
        <v>16</v>
      </c>
      <c r="E121" s="4">
        <v>957.29</v>
      </c>
      <c r="F121" s="2">
        <v>4</v>
      </c>
      <c r="G121" s="5">
        <v>0.05</v>
      </c>
      <c r="H121" s="3">
        <v>45605</v>
      </c>
      <c r="I121" s="4">
        <v>318.3</v>
      </c>
      <c r="J121" s="14">
        <f t="shared" ca="1" si="6"/>
        <v>46304.581336574076</v>
      </c>
      <c r="K121" s="7" t="str">
        <f t="shared" si="7"/>
        <v>Nov-2024</v>
      </c>
      <c r="L121" s="15">
        <f>I121-E121*('What-If'!$B$2-G121)</f>
        <v>270.43549999999999</v>
      </c>
    </row>
    <row r="122" spans="1:12" x14ac:dyDescent="0.3">
      <c r="A122" s="2" t="s">
        <v>39</v>
      </c>
      <c r="B122" s="2" t="s">
        <v>54</v>
      </c>
      <c r="C122" s="2" t="s">
        <v>13</v>
      </c>
      <c r="D122" s="2" t="s">
        <v>16</v>
      </c>
      <c r="E122" s="4">
        <v>1077.92</v>
      </c>
      <c r="F122" s="2">
        <v>3</v>
      </c>
      <c r="G122" s="5">
        <v>0.05</v>
      </c>
      <c r="H122" s="3">
        <v>45608</v>
      </c>
      <c r="I122" s="4">
        <v>358.41</v>
      </c>
      <c r="J122" s="14">
        <f t="shared" ca="1" si="6"/>
        <v>46304.581336574076</v>
      </c>
      <c r="K122" s="7" t="str">
        <f t="shared" si="7"/>
        <v>Nov-2024</v>
      </c>
      <c r="L122" s="15">
        <f>I122-E122*('What-If'!$B$2-G122)</f>
        <v>304.51400000000001</v>
      </c>
    </row>
    <row r="123" spans="1:12" x14ac:dyDescent="0.3">
      <c r="A123" s="2" t="s">
        <v>61</v>
      </c>
      <c r="B123" s="2" t="s">
        <v>59</v>
      </c>
      <c r="C123" s="2" t="s">
        <v>15</v>
      </c>
      <c r="D123" s="2" t="s">
        <v>12</v>
      </c>
      <c r="E123" s="4">
        <v>1163.01</v>
      </c>
      <c r="F123" s="2">
        <v>5</v>
      </c>
      <c r="G123" s="5">
        <v>0</v>
      </c>
      <c r="H123" s="3">
        <v>45611</v>
      </c>
      <c r="I123" s="4">
        <v>581.5</v>
      </c>
      <c r="J123" s="14">
        <f t="shared" ca="1" si="6"/>
        <v>46304.581336574076</v>
      </c>
      <c r="K123" s="7" t="str">
        <f t="shared" si="7"/>
        <v>Nov-2024</v>
      </c>
      <c r="L123" s="15">
        <f>I123-E123*('What-If'!$B$2-G123)</f>
        <v>465.19900000000001</v>
      </c>
    </row>
    <row r="124" spans="1:12" x14ac:dyDescent="0.3">
      <c r="A124" s="2" t="s">
        <v>63</v>
      </c>
      <c r="B124" s="2" t="s">
        <v>54</v>
      </c>
      <c r="C124" s="2" t="s">
        <v>11</v>
      </c>
      <c r="D124" s="2" t="s">
        <v>18</v>
      </c>
      <c r="E124" s="4">
        <v>1014.56</v>
      </c>
      <c r="F124" s="2">
        <v>10</v>
      </c>
      <c r="G124" s="5">
        <v>0.1</v>
      </c>
      <c r="H124" s="3">
        <v>45612</v>
      </c>
      <c r="I124" s="4">
        <v>410.9</v>
      </c>
      <c r="J124" s="14">
        <f t="shared" ca="1" si="6"/>
        <v>46304.581336574076</v>
      </c>
      <c r="K124" s="7" t="str">
        <f t="shared" si="7"/>
        <v>Nov-2024</v>
      </c>
      <c r="L124" s="15">
        <f>I124-E124*('What-If'!$B$2-G124)</f>
        <v>410.9</v>
      </c>
    </row>
    <row r="125" spans="1:12" x14ac:dyDescent="0.3">
      <c r="A125" s="2" t="s">
        <v>28</v>
      </c>
      <c r="B125" s="2" t="s">
        <v>33</v>
      </c>
      <c r="C125" s="2" t="s">
        <v>15</v>
      </c>
      <c r="D125" s="2" t="s">
        <v>14</v>
      </c>
      <c r="E125" s="4">
        <v>718.04</v>
      </c>
      <c r="F125" s="2">
        <v>14</v>
      </c>
      <c r="G125" s="5">
        <v>0</v>
      </c>
      <c r="H125" s="3">
        <v>45613</v>
      </c>
      <c r="I125" s="4">
        <v>179.51</v>
      </c>
      <c r="J125" s="14">
        <f t="shared" ca="1" si="6"/>
        <v>46304.581336574076</v>
      </c>
      <c r="K125" s="7" t="str">
        <f t="shared" si="7"/>
        <v>Nov-2024</v>
      </c>
      <c r="L125" s="15">
        <f>I125-E125*('What-If'!$B$2-G125)</f>
        <v>107.70599999999999</v>
      </c>
    </row>
    <row r="126" spans="1:12" x14ac:dyDescent="0.3">
      <c r="A126" s="2" t="s">
        <v>81</v>
      </c>
      <c r="B126" s="2" t="s">
        <v>33</v>
      </c>
      <c r="C126" s="2" t="s">
        <v>9</v>
      </c>
      <c r="D126" s="2" t="s">
        <v>12</v>
      </c>
      <c r="E126" s="4">
        <v>1277.8499999999999</v>
      </c>
      <c r="F126" s="2">
        <v>18</v>
      </c>
      <c r="G126" s="5">
        <v>0.2</v>
      </c>
      <c r="H126" s="3">
        <v>45613</v>
      </c>
      <c r="I126" s="4">
        <v>511.14</v>
      </c>
      <c r="J126" s="14">
        <f t="shared" ca="1" si="6"/>
        <v>46304.581336574076</v>
      </c>
      <c r="K126" s="7" t="str">
        <f t="shared" si="7"/>
        <v>Nov-2024</v>
      </c>
      <c r="L126" s="15">
        <f>I126-E126*('What-If'!$B$2-G126)</f>
        <v>638.92499999999995</v>
      </c>
    </row>
    <row r="127" spans="1:12" x14ac:dyDescent="0.3">
      <c r="A127" s="2" t="s">
        <v>79</v>
      </c>
      <c r="B127" s="2" t="s">
        <v>36</v>
      </c>
      <c r="C127" s="2" t="s">
        <v>13</v>
      </c>
      <c r="D127" s="2" t="s">
        <v>14</v>
      </c>
      <c r="E127" s="4">
        <v>706.73</v>
      </c>
      <c r="F127" s="2">
        <v>1</v>
      </c>
      <c r="G127" s="5">
        <v>0.15</v>
      </c>
      <c r="H127" s="3">
        <v>45613</v>
      </c>
      <c r="I127" s="4">
        <v>150.18</v>
      </c>
      <c r="J127" s="14">
        <f t="shared" ca="1" si="6"/>
        <v>46304.581336574076</v>
      </c>
      <c r="K127" s="7" t="str">
        <f t="shared" si="7"/>
        <v>Nov-2024</v>
      </c>
      <c r="L127" s="15">
        <f>I127-E127*('What-If'!$B$2-G127)</f>
        <v>185.51650000000001</v>
      </c>
    </row>
    <row r="128" spans="1:12" x14ac:dyDescent="0.3">
      <c r="A128" s="2" t="s">
        <v>74</v>
      </c>
      <c r="B128" s="2" t="s">
        <v>59</v>
      </c>
      <c r="C128" s="2" t="s">
        <v>11</v>
      </c>
      <c r="D128" s="2" t="s">
        <v>14</v>
      </c>
      <c r="E128" s="4">
        <v>1410.59</v>
      </c>
      <c r="F128" s="2">
        <v>15</v>
      </c>
      <c r="G128" s="5">
        <v>0</v>
      </c>
      <c r="H128" s="3">
        <v>45615</v>
      </c>
      <c r="I128" s="4">
        <v>352.65</v>
      </c>
      <c r="J128" s="14">
        <f t="shared" ca="1" si="6"/>
        <v>46304.581336574076</v>
      </c>
      <c r="K128" s="7" t="str">
        <f t="shared" si="7"/>
        <v>Nov-2024</v>
      </c>
      <c r="L128" s="15">
        <f>I128-E128*('What-If'!$B$2-G128)</f>
        <v>211.59099999999998</v>
      </c>
    </row>
    <row r="129" spans="1:12" x14ac:dyDescent="0.3">
      <c r="A129" s="2" t="s">
        <v>43</v>
      </c>
      <c r="B129" s="2" t="s">
        <v>70</v>
      </c>
      <c r="C129" s="2" t="s">
        <v>15</v>
      </c>
      <c r="D129" s="2" t="s">
        <v>16</v>
      </c>
      <c r="E129" s="4">
        <v>1350.33</v>
      </c>
      <c r="F129" s="2">
        <v>10</v>
      </c>
      <c r="G129" s="5">
        <v>0</v>
      </c>
      <c r="H129" s="3">
        <v>45615</v>
      </c>
      <c r="I129" s="4">
        <v>472.62</v>
      </c>
      <c r="J129" s="14">
        <f t="shared" ca="1" si="6"/>
        <v>46304.581336574076</v>
      </c>
      <c r="K129" s="7" t="str">
        <f t="shared" si="7"/>
        <v>Nov-2024</v>
      </c>
      <c r="L129" s="15">
        <f>I129-E129*('What-If'!$B$2-G129)</f>
        <v>337.58699999999999</v>
      </c>
    </row>
    <row r="130" spans="1:12" x14ac:dyDescent="0.3">
      <c r="A130" s="2" t="s">
        <v>50</v>
      </c>
      <c r="B130" s="2" t="s">
        <v>54</v>
      </c>
      <c r="C130" s="2" t="s">
        <v>11</v>
      </c>
      <c r="D130" s="2" t="s">
        <v>14</v>
      </c>
      <c r="E130" s="4">
        <v>919.18</v>
      </c>
      <c r="F130" s="2">
        <v>4</v>
      </c>
      <c r="G130" s="5">
        <v>0.15</v>
      </c>
      <c r="H130" s="3">
        <v>45615</v>
      </c>
      <c r="I130" s="4">
        <v>195.33</v>
      </c>
      <c r="J130" s="14">
        <f t="shared" ref="J130:J161" ca="1" si="8">NOW()</f>
        <v>46304.581336574076</v>
      </c>
      <c r="K130" s="7" t="str">
        <f t="shared" ref="K130:K161" si="9">TEXT(H130,"mmm-yyyy")</f>
        <v>Nov-2024</v>
      </c>
      <c r="L130" s="15">
        <f>I130-E130*('What-If'!$B$2-G130)</f>
        <v>241.28899999999999</v>
      </c>
    </row>
    <row r="131" spans="1:12" x14ac:dyDescent="0.3">
      <c r="A131" s="2" t="s">
        <v>83</v>
      </c>
      <c r="B131" s="2" t="s">
        <v>36</v>
      </c>
      <c r="C131" s="2" t="s">
        <v>17</v>
      </c>
      <c r="D131" s="2" t="s">
        <v>14</v>
      </c>
      <c r="E131" s="4">
        <v>258.51</v>
      </c>
      <c r="F131" s="2">
        <v>19</v>
      </c>
      <c r="G131" s="5">
        <v>0</v>
      </c>
      <c r="H131" s="3">
        <v>45616</v>
      </c>
      <c r="I131" s="4">
        <v>64.63</v>
      </c>
      <c r="J131" s="14">
        <f t="shared" ca="1" si="8"/>
        <v>46304.581336574076</v>
      </c>
      <c r="K131" s="7" t="str">
        <f t="shared" si="9"/>
        <v>Nov-2024</v>
      </c>
      <c r="L131" s="15">
        <f>I131-E131*('What-If'!$B$2-G131)</f>
        <v>38.778999999999996</v>
      </c>
    </row>
    <row r="132" spans="1:12" x14ac:dyDescent="0.3">
      <c r="A132" s="2" t="s">
        <v>72</v>
      </c>
      <c r="B132" s="2" t="s">
        <v>70</v>
      </c>
      <c r="C132" s="2" t="s">
        <v>11</v>
      </c>
      <c r="D132" s="2" t="s">
        <v>10</v>
      </c>
      <c r="E132" s="4">
        <v>1213.48</v>
      </c>
      <c r="F132" s="2">
        <v>5</v>
      </c>
      <c r="G132" s="5">
        <v>0.05</v>
      </c>
      <c r="H132" s="3">
        <v>45616</v>
      </c>
      <c r="I132" s="4">
        <v>461.12</v>
      </c>
      <c r="J132" s="14">
        <f t="shared" ca="1" si="8"/>
        <v>46304.581336574076</v>
      </c>
      <c r="K132" s="7" t="str">
        <f t="shared" si="9"/>
        <v>Nov-2024</v>
      </c>
      <c r="L132" s="15">
        <f>I132-E132*('What-If'!$B$2-G132)</f>
        <v>400.44600000000003</v>
      </c>
    </row>
    <row r="133" spans="1:12" x14ac:dyDescent="0.3">
      <c r="A133" s="2" t="s">
        <v>66</v>
      </c>
      <c r="B133" s="2" t="s">
        <v>48</v>
      </c>
      <c r="C133" s="2" t="s">
        <v>9</v>
      </c>
      <c r="D133" s="2" t="s">
        <v>10</v>
      </c>
      <c r="E133" s="4">
        <v>1150.28</v>
      </c>
      <c r="F133" s="2">
        <v>8</v>
      </c>
      <c r="G133" s="5">
        <v>0.05</v>
      </c>
      <c r="H133" s="3">
        <v>45622</v>
      </c>
      <c r="I133" s="4">
        <v>437.11</v>
      </c>
      <c r="J133" s="14">
        <f t="shared" ca="1" si="8"/>
        <v>46304.581336574076</v>
      </c>
      <c r="K133" s="7" t="str">
        <f t="shared" si="9"/>
        <v>Nov-2024</v>
      </c>
      <c r="L133" s="15">
        <f>I133-E133*('What-If'!$B$2-G133)</f>
        <v>379.596</v>
      </c>
    </row>
    <row r="134" spans="1:12" x14ac:dyDescent="0.3">
      <c r="A134" s="2" t="s">
        <v>47</v>
      </c>
      <c r="B134" s="2" t="s">
        <v>80</v>
      </c>
      <c r="C134" s="2" t="s">
        <v>15</v>
      </c>
      <c r="D134" s="2" t="s">
        <v>16</v>
      </c>
      <c r="E134" s="4">
        <v>853.86</v>
      </c>
      <c r="F134" s="2">
        <v>8</v>
      </c>
      <c r="G134" s="5">
        <v>0.1</v>
      </c>
      <c r="H134" s="3">
        <v>45622</v>
      </c>
      <c r="I134" s="4">
        <v>268.97000000000003</v>
      </c>
      <c r="J134" s="14">
        <f t="shared" ca="1" si="8"/>
        <v>46304.581336574076</v>
      </c>
      <c r="K134" s="7" t="str">
        <f t="shared" si="9"/>
        <v>Nov-2024</v>
      </c>
      <c r="L134" s="15">
        <f>I134-E134*('What-If'!$B$2-G134)</f>
        <v>268.97000000000003</v>
      </c>
    </row>
    <row r="135" spans="1:12" x14ac:dyDescent="0.3">
      <c r="A135" s="2" t="s">
        <v>84</v>
      </c>
      <c r="B135" s="2" t="s">
        <v>54</v>
      </c>
      <c r="C135" s="2" t="s">
        <v>15</v>
      </c>
      <c r="D135" s="2" t="s">
        <v>14</v>
      </c>
      <c r="E135" s="4">
        <v>1061.04</v>
      </c>
      <c r="F135" s="2">
        <v>1</v>
      </c>
      <c r="G135" s="5">
        <v>0</v>
      </c>
      <c r="H135" s="3">
        <v>45624</v>
      </c>
      <c r="I135" s="4">
        <v>265.26</v>
      </c>
      <c r="J135" s="14">
        <f t="shared" ca="1" si="8"/>
        <v>46304.581336574076</v>
      </c>
      <c r="K135" s="7" t="str">
        <f t="shared" si="9"/>
        <v>Nov-2024</v>
      </c>
      <c r="L135" s="15">
        <f>I135-E135*('What-If'!$B$2-G135)</f>
        <v>159.15600000000001</v>
      </c>
    </row>
    <row r="136" spans="1:12" x14ac:dyDescent="0.3">
      <c r="A136" s="2" t="s">
        <v>39</v>
      </c>
      <c r="B136" s="2" t="s">
        <v>52</v>
      </c>
      <c r="C136" s="2" t="s">
        <v>17</v>
      </c>
      <c r="D136" s="2" t="s">
        <v>14</v>
      </c>
      <c r="E136" s="4">
        <v>894.55</v>
      </c>
      <c r="F136" s="2">
        <v>19</v>
      </c>
      <c r="G136" s="5">
        <v>0.2</v>
      </c>
      <c r="H136" s="3">
        <v>45625</v>
      </c>
      <c r="I136" s="4">
        <v>178.91</v>
      </c>
      <c r="J136" s="14">
        <f t="shared" ca="1" si="8"/>
        <v>46304.581336574076</v>
      </c>
      <c r="K136" s="7" t="str">
        <f t="shared" si="9"/>
        <v>Nov-2024</v>
      </c>
      <c r="L136" s="15">
        <f>I136-E136*('What-If'!$B$2-G136)</f>
        <v>268.36500000000001</v>
      </c>
    </row>
    <row r="137" spans="1:12" x14ac:dyDescent="0.3">
      <c r="A137" s="2" t="s">
        <v>37</v>
      </c>
      <c r="B137" s="2" t="s">
        <v>48</v>
      </c>
      <c r="C137" s="2" t="s">
        <v>13</v>
      </c>
      <c r="D137" s="2" t="s">
        <v>18</v>
      </c>
      <c r="E137" s="4">
        <v>833.91</v>
      </c>
      <c r="F137" s="2">
        <v>3</v>
      </c>
      <c r="G137" s="5">
        <v>0.05</v>
      </c>
      <c r="H137" s="3">
        <v>45626</v>
      </c>
      <c r="I137" s="4">
        <v>356.5</v>
      </c>
      <c r="J137" s="14">
        <f t="shared" ca="1" si="8"/>
        <v>46304.581336574076</v>
      </c>
      <c r="K137" s="7" t="str">
        <f t="shared" si="9"/>
        <v>Nov-2024</v>
      </c>
      <c r="L137" s="15">
        <f>I137-E137*('What-If'!$B$2-G137)</f>
        <v>314.80450000000002</v>
      </c>
    </row>
    <row r="138" spans="1:12" x14ac:dyDescent="0.3">
      <c r="A138" s="2" t="s">
        <v>67</v>
      </c>
      <c r="B138" s="2" t="s">
        <v>80</v>
      </c>
      <c r="C138" s="2" t="s">
        <v>17</v>
      </c>
      <c r="D138" s="2" t="s">
        <v>16</v>
      </c>
      <c r="E138" s="4">
        <v>820.19</v>
      </c>
      <c r="F138" s="2">
        <v>4</v>
      </c>
      <c r="G138" s="5">
        <v>0.2</v>
      </c>
      <c r="H138" s="3">
        <v>45630</v>
      </c>
      <c r="I138" s="4">
        <v>229.65</v>
      </c>
      <c r="J138" s="14">
        <f t="shared" ca="1" si="8"/>
        <v>46304.581336574076</v>
      </c>
      <c r="K138" s="7" t="str">
        <f t="shared" si="9"/>
        <v>Dec-2024</v>
      </c>
      <c r="L138" s="15">
        <f>I138-E138*('What-If'!$B$2-G138)</f>
        <v>311.66899999999998</v>
      </c>
    </row>
    <row r="139" spans="1:12" x14ac:dyDescent="0.3">
      <c r="A139" s="2" t="s">
        <v>67</v>
      </c>
      <c r="B139" s="2" t="s">
        <v>48</v>
      </c>
      <c r="C139" s="2" t="s">
        <v>9</v>
      </c>
      <c r="D139" s="2" t="s">
        <v>14</v>
      </c>
      <c r="E139" s="4">
        <v>511.74</v>
      </c>
      <c r="F139" s="2">
        <v>8</v>
      </c>
      <c r="G139" s="5">
        <v>0.05</v>
      </c>
      <c r="H139" s="3">
        <v>45631</v>
      </c>
      <c r="I139" s="4">
        <v>121.54</v>
      </c>
      <c r="J139" s="14">
        <f t="shared" ca="1" si="8"/>
        <v>46304.581336574076</v>
      </c>
      <c r="K139" s="7" t="str">
        <f t="shared" si="9"/>
        <v>Dec-2024</v>
      </c>
      <c r="L139" s="15">
        <f>I139-E139*('What-If'!$B$2-G139)</f>
        <v>95.953000000000003</v>
      </c>
    </row>
    <row r="140" spans="1:12" x14ac:dyDescent="0.3">
      <c r="A140" s="2" t="s">
        <v>74</v>
      </c>
      <c r="B140" s="2" t="s">
        <v>70</v>
      </c>
      <c r="C140" s="2" t="s">
        <v>15</v>
      </c>
      <c r="D140" s="2" t="s">
        <v>16</v>
      </c>
      <c r="E140" s="4">
        <v>806.03</v>
      </c>
      <c r="F140" s="2">
        <v>19</v>
      </c>
      <c r="G140" s="5">
        <v>0.05</v>
      </c>
      <c r="H140" s="3">
        <v>45638</v>
      </c>
      <c r="I140" s="4">
        <v>268</v>
      </c>
      <c r="J140" s="14">
        <f t="shared" ca="1" si="8"/>
        <v>46304.581336574076</v>
      </c>
      <c r="K140" s="7" t="str">
        <f t="shared" si="9"/>
        <v>Dec-2024</v>
      </c>
      <c r="L140" s="15">
        <f>I140-E140*('What-If'!$B$2-G140)</f>
        <v>227.6985</v>
      </c>
    </row>
    <row r="141" spans="1:12" x14ac:dyDescent="0.3">
      <c r="A141" s="2" t="s">
        <v>39</v>
      </c>
      <c r="B141" s="2" t="s">
        <v>38</v>
      </c>
      <c r="C141" s="2" t="s">
        <v>9</v>
      </c>
      <c r="D141" s="2" t="s">
        <v>16</v>
      </c>
      <c r="E141" s="4">
        <v>1432.47</v>
      </c>
      <c r="F141" s="2">
        <v>16</v>
      </c>
      <c r="G141" s="5">
        <v>0.15</v>
      </c>
      <c r="H141" s="3">
        <v>45640</v>
      </c>
      <c r="I141" s="4">
        <v>426.16</v>
      </c>
      <c r="J141" s="14">
        <f t="shared" ca="1" si="8"/>
        <v>46304.581336574076</v>
      </c>
      <c r="K141" s="7" t="str">
        <f t="shared" si="9"/>
        <v>Dec-2024</v>
      </c>
      <c r="L141" s="15">
        <f>I141-E141*('What-If'!$B$2-G141)</f>
        <v>497.7835</v>
      </c>
    </row>
    <row r="142" spans="1:12" x14ac:dyDescent="0.3">
      <c r="A142" s="2" t="s">
        <v>83</v>
      </c>
      <c r="B142" s="2" t="s">
        <v>40</v>
      </c>
      <c r="C142" s="2" t="s">
        <v>9</v>
      </c>
      <c r="D142" s="2" t="s">
        <v>14</v>
      </c>
      <c r="E142" s="4">
        <v>1488.58</v>
      </c>
      <c r="F142" s="2">
        <v>10</v>
      </c>
      <c r="G142" s="5">
        <v>0.15</v>
      </c>
      <c r="H142" s="3">
        <v>45640</v>
      </c>
      <c r="I142" s="4">
        <v>316.32</v>
      </c>
      <c r="J142" s="14">
        <f t="shared" ca="1" si="8"/>
        <v>46304.581336574076</v>
      </c>
      <c r="K142" s="7" t="str">
        <f t="shared" si="9"/>
        <v>Dec-2024</v>
      </c>
      <c r="L142" s="15">
        <f>I142-E142*('What-If'!$B$2-G142)</f>
        <v>390.74899999999997</v>
      </c>
    </row>
    <row r="143" spans="1:12" x14ac:dyDescent="0.3">
      <c r="A143" s="2" t="s">
        <v>41</v>
      </c>
      <c r="B143" s="2" t="s">
        <v>75</v>
      </c>
      <c r="C143" s="2" t="s">
        <v>11</v>
      </c>
      <c r="D143" s="2" t="s">
        <v>10</v>
      </c>
      <c r="E143" s="4">
        <v>1231.26</v>
      </c>
      <c r="F143" s="2">
        <v>9</v>
      </c>
      <c r="G143" s="5">
        <v>0</v>
      </c>
      <c r="H143" s="3">
        <v>45646</v>
      </c>
      <c r="I143" s="4">
        <v>492.5</v>
      </c>
      <c r="J143" s="14">
        <f t="shared" ca="1" si="8"/>
        <v>46304.581336574076</v>
      </c>
      <c r="K143" s="7" t="str">
        <f t="shared" si="9"/>
        <v>Dec-2024</v>
      </c>
      <c r="L143" s="15">
        <f>I143-E143*('What-If'!$B$2-G143)</f>
        <v>369.37400000000002</v>
      </c>
    </row>
    <row r="144" spans="1:12" x14ac:dyDescent="0.3">
      <c r="A144" s="2" t="s">
        <v>41</v>
      </c>
      <c r="B144" s="2" t="s">
        <v>52</v>
      </c>
      <c r="C144" s="2" t="s">
        <v>17</v>
      </c>
      <c r="D144" s="2" t="s">
        <v>14</v>
      </c>
      <c r="E144" s="4">
        <v>1161.67</v>
      </c>
      <c r="F144" s="2">
        <v>19</v>
      </c>
      <c r="G144" s="5">
        <v>0.2</v>
      </c>
      <c r="H144" s="3">
        <v>45647</v>
      </c>
      <c r="I144" s="4">
        <v>232.33</v>
      </c>
      <c r="J144" s="14">
        <f t="shared" ca="1" si="8"/>
        <v>46304.581336574076</v>
      </c>
      <c r="K144" s="7" t="str">
        <f t="shared" si="9"/>
        <v>Dec-2024</v>
      </c>
      <c r="L144" s="15">
        <f>I144-E144*('What-If'!$B$2-G144)</f>
        <v>348.49700000000001</v>
      </c>
    </row>
    <row r="145" spans="1:12" x14ac:dyDescent="0.3">
      <c r="A145" s="2" t="s">
        <v>58</v>
      </c>
      <c r="B145" s="2" t="s">
        <v>54</v>
      </c>
      <c r="C145" s="2" t="s">
        <v>9</v>
      </c>
      <c r="D145" s="2" t="s">
        <v>18</v>
      </c>
      <c r="E145" s="4">
        <v>388.23</v>
      </c>
      <c r="F145" s="2">
        <v>16</v>
      </c>
      <c r="G145" s="5">
        <v>0.05</v>
      </c>
      <c r="H145" s="3">
        <v>45650</v>
      </c>
      <c r="I145" s="4">
        <v>165.97</v>
      </c>
      <c r="J145" s="14">
        <f t="shared" ca="1" si="8"/>
        <v>46304.581336574076</v>
      </c>
      <c r="K145" s="7" t="str">
        <f t="shared" si="9"/>
        <v>Dec-2024</v>
      </c>
      <c r="L145" s="15">
        <f>I145-E145*('What-If'!$B$2-G145)</f>
        <v>146.55849999999998</v>
      </c>
    </row>
    <row r="146" spans="1:12" x14ac:dyDescent="0.3">
      <c r="A146" s="2" t="s">
        <v>81</v>
      </c>
      <c r="B146" s="2" t="s">
        <v>42</v>
      </c>
      <c r="C146" s="2" t="s">
        <v>13</v>
      </c>
      <c r="D146" s="2" t="s">
        <v>12</v>
      </c>
      <c r="E146" s="4">
        <v>1589.42</v>
      </c>
      <c r="F146" s="2">
        <v>6</v>
      </c>
      <c r="G146" s="5">
        <v>0.15</v>
      </c>
      <c r="H146" s="3">
        <v>45651</v>
      </c>
      <c r="I146" s="4">
        <v>675.5</v>
      </c>
      <c r="J146" s="14">
        <f t="shared" ca="1" si="8"/>
        <v>46304.581336574076</v>
      </c>
      <c r="K146" s="7" t="str">
        <f t="shared" si="9"/>
        <v>Dec-2024</v>
      </c>
      <c r="L146" s="15">
        <f>I146-E146*('What-If'!$B$2-G146)</f>
        <v>754.971</v>
      </c>
    </row>
    <row r="147" spans="1:12" x14ac:dyDescent="0.3">
      <c r="A147" s="2" t="s">
        <v>39</v>
      </c>
      <c r="B147" s="2" t="s">
        <v>80</v>
      </c>
      <c r="C147" s="2" t="s">
        <v>13</v>
      </c>
      <c r="D147" s="2" t="s">
        <v>12</v>
      </c>
      <c r="E147" s="4">
        <v>336.66</v>
      </c>
      <c r="F147" s="2">
        <v>13</v>
      </c>
      <c r="G147" s="5">
        <v>0.2</v>
      </c>
      <c r="H147" s="3">
        <v>45651</v>
      </c>
      <c r="I147" s="4">
        <v>134.66</v>
      </c>
      <c r="J147" s="14">
        <f t="shared" ca="1" si="8"/>
        <v>46304.581336574076</v>
      </c>
      <c r="K147" s="7" t="str">
        <f t="shared" si="9"/>
        <v>Dec-2024</v>
      </c>
      <c r="L147" s="15">
        <f>I147-E147*('What-If'!$B$2-G147)</f>
        <v>168.32599999999999</v>
      </c>
    </row>
    <row r="148" spans="1:12" x14ac:dyDescent="0.3">
      <c r="A148" s="2" t="s">
        <v>58</v>
      </c>
      <c r="B148" s="2" t="s">
        <v>36</v>
      </c>
      <c r="C148" s="2" t="s">
        <v>17</v>
      </c>
      <c r="D148" s="2" t="s">
        <v>10</v>
      </c>
      <c r="E148" s="4">
        <v>1353.79</v>
      </c>
      <c r="F148" s="2">
        <v>14</v>
      </c>
      <c r="G148" s="5">
        <v>0.1</v>
      </c>
      <c r="H148" s="3">
        <v>45656</v>
      </c>
      <c r="I148" s="4">
        <v>487.36</v>
      </c>
      <c r="J148" s="14">
        <f t="shared" ca="1" si="8"/>
        <v>46304.581336574076</v>
      </c>
      <c r="K148" s="7" t="str">
        <f t="shared" si="9"/>
        <v>Dec-2024</v>
      </c>
      <c r="L148" s="15">
        <f>I148-E148*('What-If'!$B$2-G148)</f>
        <v>487.36</v>
      </c>
    </row>
    <row r="149" spans="1:12" x14ac:dyDescent="0.3">
      <c r="A149" s="2" t="s">
        <v>72</v>
      </c>
      <c r="B149" s="2" t="s">
        <v>78</v>
      </c>
      <c r="C149" s="2" t="s">
        <v>9</v>
      </c>
      <c r="D149" s="2" t="s">
        <v>12</v>
      </c>
      <c r="E149" s="4">
        <v>662.61</v>
      </c>
      <c r="F149" s="2">
        <v>11</v>
      </c>
      <c r="G149" s="5">
        <v>0.05</v>
      </c>
      <c r="H149" s="3">
        <v>45658</v>
      </c>
      <c r="I149" s="4">
        <v>314.74</v>
      </c>
      <c r="J149" s="14">
        <f t="shared" ca="1" si="8"/>
        <v>46304.581336574076</v>
      </c>
      <c r="K149" s="7" t="str">
        <f t="shared" si="9"/>
        <v>Jan-2025</v>
      </c>
      <c r="L149" s="15">
        <f>I149-E149*('What-If'!$B$2-G149)</f>
        <v>281.60950000000003</v>
      </c>
    </row>
    <row r="150" spans="1:12" x14ac:dyDescent="0.3">
      <c r="A150" s="2" t="s">
        <v>61</v>
      </c>
      <c r="B150" s="2" t="s">
        <v>57</v>
      </c>
      <c r="C150" s="2" t="s">
        <v>13</v>
      </c>
      <c r="D150" s="2" t="s">
        <v>18</v>
      </c>
      <c r="E150" s="4">
        <v>309.42</v>
      </c>
      <c r="F150" s="2">
        <v>1</v>
      </c>
      <c r="G150" s="5">
        <v>0.2</v>
      </c>
      <c r="H150" s="3">
        <v>45658</v>
      </c>
      <c r="I150" s="4">
        <v>111.39</v>
      </c>
      <c r="J150" s="14">
        <f t="shared" ca="1" si="8"/>
        <v>46304.581336574076</v>
      </c>
      <c r="K150" s="7" t="str">
        <f t="shared" si="9"/>
        <v>Jan-2025</v>
      </c>
      <c r="L150" s="15">
        <f>I150-E150*('What-If'!$B$2-G150)</f>
        <v>142.33199999999999</v>
      </c>
    </row>
    <row r="151" spans="1:12" x14ac:dyDescent="0.3">
      <c r="A151" s="2" t="s">
        <v>72</v>
      </c>
      <c r="B151" s="2" t="s">
        <v>40</v>
      </c>
      <c r="C151" s="2" t="s">
        <v>13</v>
      </c>
      <c r="D151" s="2" t="s">
        <v>10</v>
      </c>
      <c r="E151" s="4">
        <v>884.63</v>
      </c>
      <c r="F151" s="2">
        <v>18</v>
      </c>
      <c r="G151" s="5">
        <v>0.1</v>
      </c>
      <c r="H151" s="3">
        <v>45659</v>
      </c>
      <c r="I151" s="4">
        <v>318.47000000000003</v>
      </c>
      <c r="J151" s="14">
        <f t="shared" ca="1" si="8"/>
        <v>46304.581336574076</v>
      </c>
      <c r="K151" s="7" t="str">
        <f t="shared" si="9"/>
        <v>Jan-2025</v>
      </c>
      <c r="L151" s="15">
        <f>I151-E151*('What-If'!$B$2-G151)</f>
        <v>318.47000000000003</v>
      </c>
    </row>
    <row r="152" spans="1:12" x14ac:dyDescent="0.3">
      <c r="A152" s="2" t="s">
        <v>61</v>
      </c>
      <c r="B152" s="2" t="s">
        <v>36</v>
      </c>
      <c r="C152" s="2" t="s">
        <v>9</v>
      </c>
      <c r="D152" s="2" t="s">
        <v>18</v>
      </c>
      <c r="E152" s="4">
        <v>745.05</v>
      </c>
      <c r="F152" s="2">
        <v>10</v>
      </c>
      <c r="G152" s="5">
        <v>0.1</v>
      </c>
      <c r="H152" s="3">
        <v>45660</v>
      </c>
      <c r="I152" s="4">
        <v>301.75</v>
      </c>
      <c r="J152" s="14">
        <f t="shared" ca="1" si="8"/>
        <v>46304.581336574076</v>
      </c>
      <c r="K152" s="7" t="str">
        <f t="shared" si="9"/>
        <v>Jan-2025</v>
      </c>
      <c r="L152" s="15">
        <f>I152-E152*('What-If'!$B$2-G152)</f>
        <v>301.75</v>
      </c>
    </row>
    <row r="153" spans="1:12" x14ac:dyDescent="0.3">
      <c r="A153" s="2" t="s">
        <v>69</v>
      </c>
      <c r="B153" s="2" t="s">
        <v>33</v>
      </c>
      <c r="C153" s="2" t="s">
        <v>15</v>
      </c>
      <c r="D153" s="2" t="s">
        <v>12</v>
      </c>
      <c r="E153" s="4">
        <v>870.23</v>
      </c>
      <c r="F153" s="2">
        <v>5</v>
      </c>
      <c r="G153" s="5">
        <v>0.05</v>
      </c>
      <c r="H153" s="3">
        <v>45660</v>
      </c>
      <c r="I153" s="4">
        <v>413.36</v>
      </c>
      <c r="J153" s="14">
        <f t="shared" ca="1" si="8"/>
        <v>46304.581336574076</v>
      </c>
      <c r="K153" s="7" t="str">
        <f t="shared" si="9"/>
        <v>Jan-2025</v>
      </c>
      <c r="L153" s="15">
        <f>I153-E153*('What-If'!$B$2-G153)</f>
        <v>369.8485</v>
      </c>
    </row>
    <row r="154" spans="1:12" x14ac:dyDescent="0.3">
      <c r="A154" s="2" t="s">
        <v>45</v>
      </c>
      <c r="B154" s="2" t="s">
        <v>40</v>
      </c>
      <c r="C154" s="2" t="s">
        <v>17</v>
      </c>
      <c r="D154" s="2" t="s">
        <v>16</v>
      </c>
      <c r="E154" s="4">
        <v>862.19</v>
      </c>
      <c r="F154" s="2">
        <v>18</v>
      </c>
      <c r="G154" s="5">
        <v>0.05</v>
      </c>
      <c r="H154" s="3">
        <v>45663</v>
      </c>
      <c r="I154" s="4">
        <v>286.68</v>
      </c>
      <c r="J154" s="14">
        <f t="shared" ca="1" si="8"/>
        <v>46304.581336574076</v>
      </c>
      <c r="K154" s="7" t="str">
        <f t="shared" si="9"/>
        <v>Jan-2025</v>
      </c>
      <c r="L154" s="15">
        <f>I154-E154*('What-If'!$B$2-G154)</f>
        <v>243.57050000000001</v>
      </c>
    </row>
    <row r="155" spans="1:12" x14ac:dyDescent="0.3">
      <c r="A155" s="2" t="s">
        <v>82</v>
      </c>
      <c r="B155" s="2" t="s">
        <v>68</v>
      </c>
      <c r="C155" s="2" t="s">
        <v>13</v>
      </c>
      <c r="D155" s="2" t="s">
        <v>12</v>
      </c>
      <c r="E155" s="4">
        <v>1171.18</v>
      </c>
      <c r="F155" s="2">
        <v>19</v>
      </c>
      <c r="G155" s="5">
        <v>0.05</v>
      </c>
      <c r="H155" s="3">
        <v>45667</v>
      </c>
      <c r="I155" s="4">
        <v>556.30999999999995</v>
      </c>
      <c r="J155" s="14">
        <f t="shared" ca="1" si="8"/>
        <v>46304.581336574076</v>
      </c>
      <c r="K155" s="7" t="str">
        <f t="shared" si="9"/>
        <v>Jan-2025</v>
      </c>
      <c r="L155" s="15">
        <f>I155-E155*('What-If'!$B$2-G155)</f>
        <v>497.75099999999992</v>
      </c>
    </row>
    <row r="156" spans="1:12" x14ac:dyDescent="0.3">
      <c r="A156" s="2" t="s">
        <v>67</v>
      </c>
      <c r="B156" s="2" t="s">
        <v>31</v>
      </c>
      <c r="C156" s="2" t="s">
        <v>15</v>
      </c>
      <c r="D156" s="2" t="s">
        <v>16</v>
      </c>
      <c r="E156" s="4">
        <v>1054.56</v>
      </c>
      <c r="F156" s="2">
        <v>11</v>
      </c>
      <c r="G156" s="5">
        <v>0.1</v>
      </c>
      <c r="H156" s="3">
        <v>45669</v>
      </c>
      <c r="I156" s="4">
        <v>332.19</v>
      </c>
      <c r="J156" s="14">
        <f t="shared" ca="1" si="8"/>
        <v>46304.581336574076</v>
      </c>
      <c r="K156" s="7" t="str">
        <f t="shared" si="9"/>
        <v>Jan-2025</v>
      </c>
      <c r="L156" s="15">
        <f>I156-E156*('What-If'!$B$2-G156)</f>
        <v>332.19</v>
      </c>
    </row>
    <row r="157" spans="1:12" x14ac:dyDescent="0.3">
      <c r="A157" s="2" t="s">
        <v>67</v>
      </c>
      <c r="B157" s="2" t="s">
        <v>36</v>
      </c>
      <c r="C157" s="2" t="s">
        <v>13</v>
      </c>
      <c r="D157" s="2" t="s">
        <v>14</v>
      </c>
      <c r="E157" s="4">
        <v>1681.21</v>
      </c>
      <c r="F157" s="2">
        <v>5</v>
      </c>
      <c r="G157" s="5">
        <v>0.2</v>
      </c>
      <c r="H157" s="3">
        <v>45670</v>
      </c>
      <c r="I157" s="4">
        <v>336.24</v>
      </c>
      <c r="J157" s="14">
        <f t="shared" ca="1" si="8"/>
        <v>46304.581336574076</v>
      </c>
      <c r="K157" s="7" t="str">
        <f t="shared" si="9"/>
        <v>Jan-2025</v>
      </c>
      <c r="L157" s="15">
        <f>I157-E157*('What-If'!$B$2-G157)</f>
        <v>504.36099999999999</v>
      </c>
    </row>
    <row r="158" spans="1:12" x14ac:dyDescent="0.3">
      <c r="A158" s="2" t="s">
        <v>67</v>
      </c>
      <c r="B158" s="2" t="s">
        <v>46</v>
      </c>
      <c r="C158" s="2" t="s">
        <v>17</v>
      </c>
      <c r="D158" s="2" t="s">
        <v>12</v>
      </c>
      <c r="E158" s="4">
        <v>379.77</v>
      </c>
      <c r="F158" s="2">
        <v>9</v>
      </c>
      <c r="G158" s="5">
        <v>0.05</v>
      </c>
      <c r="H158" s="3">
        <v>45673</v>
      </c>
      <c r="I158" s="4">
        <v>180.39</v>
      </c>
      <c r="J158" s="14">
        <f t="shared" ca="1" si="8"/>
        <v>46304.581336574076</v>
      </c>
      <c r="K158" s="7" t="str">
        <f t="shared" si="9"/>
        <v>Jan-2025</v>
      </c>
      <c r="L158" s="15">
        <f>I158-E158*('What-If'!$B$2-G158)</f>
        <v>161.4015</v>
      </c>
    </row>
    <row r="159" spans="1:12" x14ac:dyDescent="0.3">
      <c r="A159" s="2" t="s">
        <v>53</v>
      </c>
      <c r="B159" s="2" t="s">
        <v>54</v>
      </c>
      <c r="C159" s="2" t="s">
        <v>9</v>
      </c>
      <c r="D159" s="2" t="s">
        <v>12</v>
      </c>
      <c r="E159" s="4">
        <v>1076.33</v>
      </c>
      <c r="F159" s="2">
        <v>2</v>
      </c>
      <c r="G159" s="5">
        <v>0.1</v>
      </c>
      <c r="H159" s="3">
        <v>45674</v>
      </c>
      <c r="I159" s="4">
        <v>484.35</v>
      </c>
      <c r="J159" s="14">
        <f t="shared" ca="1" si="8"/>
        <v>46304.581336574076</v>
      </c>
      <c r="K159" s="7" t="str">
        <f t="shared" si="9"/>
        <v>Jan-2025</v>
      </c>
      <c r="L159" s="15">
        <f>I159-E159*('What-If'!$B$2-G159)</f>
        <v>484.35</v>
      </c>
    </row>
    <row r="160" spans="1:12" x14ac:dyDescent="0.3">
      <c r="A160" s="2" t="s">
        <v>53</v>
      </c>
      <c r="B160" s="2" t="s">
        <v>42</v>
      </c>
      <c r="C160" s="2" t="s">
        <v>9</v>
      </c>
      <c r="D160" s="2" t="s">
        <v>18</v>
      </c>
      <c r="E160" s="4">
        <v>1250.71</v>
      </c>
      <c r="F160" s="2">
        <v>7</v>
      </c>
      <c r="G160" s="5">
        <v>0</v>
      </c>
      <c r="H160" s="3">
        <v>45674</v>
      </c>
      <c r="I160" s="4">
        <v>562.82000000000005</v>
      </c>
      <c r="J160" s="14">
        <f t="shared" ca="1" si="8"/>
        <v>46304.581336574076</v>
      </c>
      <c r="K160" s="7" t="str">
        <f t="shared" si="9"/>
        <v>Jan-2025</v>
      </c>
      <c r="L160" s="15">
        <f>I160-E160*('What-If'!$B$2-G160)</f>
        <v>437.74900000000002</v>
      </c>
    </row>
    <row r="161" spans="1:12" x14ac:dyDescent="0.3">
      <c r="A161" s="2" t="s">
        <v>49</v>
      </c>
      <c r="B161" s="2" t="s">
        <v>33</v>
      </c>
      <c r="C161" s="2" t="s">
        <v>15</v>
      </c>
      <c r="D161" s="2" t="s">
        <v>12</v>
      </c>
      <c r="E161" s="4">
        <v>1118.3399999999999</v>
      </c>
      <c r="F161" s="2">
        <v>6</v>
      </c>
      <c r="G161" s="5">
        <v>0.2</v>
      </c>
      <c r="H161" s="3">
        <v>45674</v>
      </c>
      <c r="I161" s="4">
        <v>447.34</v>
      </c>
      <c r="J161" s="14">
        <f t="shared" ca="1" si="8"/>
        <v>46304.581336574076</v>
      </c>
      <c r="K161" s="7" t="str">
        <f t="shared" si="9"/>
        <v>Jan-2025</v>
      </c>
      <c r="L161" s="15">
        <f>I161-E161*('What-If'!$B$2-G161)</f>
        <v>559.17399999999998</v>
      </c>
    </row>
    <row r="162" spans="1:12" x14ac:dyDescent="0.3">
      <c r="A162" s="2" t="s">
        <v>79</v>
      </c>
      <c r="B162" s="2" t="s">
        <v>62</v>
      </c>
      <c r="C162" s="2" t="s">
        <v>13</v>
      </c>
      <c r="D162" s="2" t="s">
        <v>12</v>
      </c>
      <c r="E162" s="4">
        <v>1622.62</v>
      </c>
      <c r="F162" s="2">
        <v>12</v>
      </c>
      <c r="G162" s="5">
        <v>0.2</v>
      </c>
      <c r="H162" s="3">
        <v>45677</v>
      </c>
      <c r="I162" s="4">
        <v>649.04999999999995</v>
      </c>
      <c r="J162" s="14">
        <f t="shared" ref="J162:J193" ca="1" si="10">NOW()</f>
        <v>46304.581336574076</v>
      </c>
      <c r="K162" s="7" t="str">
        <f t="shared" ref="K162:K193" si="11">TEXT(H162,"mmm-yyyy")</f>
        <v>Jan-2025</v>
      </c>
      <c r="L162" s="15">
        <f>I162-E162*('What-If'!$B$2-G162)</f>
        <v>811.3119999999999</v>
      </c>
    </row>
    <row r="163" spans="1:12" x14ac:dyDescent="0.3">
      <c r="A163" s="2" t="s">
        <v>84</v>
      </c>
      <c r="B163" s="2" t="s">
        <v>57</v>
      </c>
      <c r="C163" s="2" t="s">
        <v>13</v>
      </c>
      <c r="D163" s="2" t="s">
        <v>10</v>
      </c>
      <c r="E163" s="4">
        <v>640.64</v>
      </c>
      <c r="F163" s="2">
        <v>11</v>
      </c>
      <c r="G163" s="5">
        <v>0.2</v>
      </c>
      <c r="H163" s="3">
        <v>45678</v>
      </c>
      <c r="I163" s="4">
        <v>205</v>
      </c>
      <c r="J163" s="14">
        <f t="shared" ca="1" si="10"/>
        <v>46304.581336574076</v>
      </c>
      <c r="K163" s="7" t="str">
        <f t="shared" si="11"/>
        <v>Jan-2025</v>
      </c>
      <c r="L163" s="15">
        <f>I163-E163*('What-If'!$B$2-G163)</f>
        <v>269.06400000000002</v>
      </c>
    </row>
    <row r="164" spans="1:12" x14ac:dyDescent="0.3">
      <c r="A164" s="2" t="s">
        <v>35</v>
      </c>
      <c r="B164" s="2" t="s">
        <v>52</v>
      </c>
      <c r="C164" s="2" t="s">
        <v>17</v>
      </c>
      <c r="D164" s="2" t="s">
        <v>12</v>
      </c>
      <c r="E164" s="4">
        <v>585.16</v>
      </c>
      <c r="F164" s="2">
        <v>17</v>
      </c>
      <c r="G164" s="5">
        <v>0.1</v>
      </c>
      <c r="H164" s="3">
        <v>45684</v>
      </c>
      <c r="I164" s="4">
        <v>263.32</v>
      </c>
      <c r="J164" s="14">
        <f t="shared" ca="1" si="10"/>
        <v>46304.581336574076</v>
      </c>
      <c r="K164" s="7" t="str">
        <f t="shared" si="11"/>
        <v>Jan-2025</v>
      </c>
      <c r="L164" s="15">
        <f>I164-E164*('What-If'!$B$2-G164)</f>
        <v>263.32</v>
      </c>
    </row>
    <row r="165" spans="1:12" x14ac:dyDescent="0.3">
      <c r="A165" s="2" t="s">
        <v>35</v>
      </c>
      <c r="B165" s="2" t="s">
        <v>42</v>
      </c>
      <c r="C165" s="2" t="s">
        <v>11</v>
      </c>
      <c r="D165" s="2" t="s">
        <v>12</v>
      </c>
      <c r="E165" s="4">
        <v>1109.98</v>
      </c>
      <c r="F165" s="2">
        <v>5</v>
      </c>
      <c r="G165" s="5">
        <v>0.2</v>
      </c>
      <c r="H165" s="3">
        <v>45690</v>
      </c>
      <c r="I165" s="4">
        <v>443.99</v>
      </c>
      <c r="J165" s="14">
        <f t="shared" ca="1" si="10"/>
        <v>46304.581336574076</v>
      </c>
      <c r="K165" s="7" t="str">
        <f t="shared" si="11"/>
        <v>Feb-2025</v>
      </c>
      <c r="L165" s="15">
        <f>I165-E165*('What-If'!$B$2-G165)</f>
        <v>554.98800000000006</v>
      </c>
    </row>
    <row r="166" spans="1:12" x14ac:dyDescent="0.3">
      <c r="A166" s="2" t="s">
        <v>67</v>
      </c>
      <c r="B166" s="2" t="s">
        <v>54</v>
      </c>
      <c r="C166" s="2" t="s">
        <v>11</v>
      </c>
      <c r="D166" s="2" t="s">
        <v>10</v>
      </c>
      <c r="E166" s="4">
        <v>1098.08</v>
      </c>
      <c r="F166" s="2">
        <v>9</v>
      </c>
      <c r="G166" s="5">
        <v>0.1</v>
      </c>
      <c r="H166" s="3">
        <v>45692</v>
      </c>
      <c r="I166" s="4">
        <v>395.31</v>
      </c>
      <c r="J166" s="14">
        <f t="shared" ca="1" si="10"/>
        <v>46304.581336574076</v>
      </c>
      <c r="K166" s="7" t="str">
        <f t="shared" si="11"/>
        <v>Feb-2025</v>
      </c>
      <c r="L166" s="15">
        <f>I166-E166*('What-If'!$B$2-G166)</f>
        <v>395.31</v>
      </c>
    </row>
    <row r="167" spans="1:12" x14ac:dyDescent="0.3">
      <c r="A167" s="2" t="s">
        <v>74</v>
      </c>
      <c r="B167" s="2" t="s">
        <v>57</v>
      </c>
      <c r="C167" s="2" t="s">
        <v>17</v>
      </c>
      <c r="D167" s="2" t="s">
        <v>18</v>
      </c>
      <c r="E167" s="4">
        <v>827.25</v>
      </c>
      <c r="F167" s="2">
        <v>7</v>
      </c>
      <c r="G167" s="5">
        <v>0.1</v>
      </c>
      <c r="H167" s="3">
        <v>45693</v>
      </c>
      <c r="I167" s="4">
        <v>335.04</v>
      </c>
      <c r="J167" s="14">
        <f t="shared" ca="1" si="10"/>
        <v>46304.581336574076</v>
      </c>
      <c r="K167" s="7" t="str">
        <f t="shared" si="11"/>
        <v>Feb-2025</v>
      </c>
      <c r="L167" s="15">
        <f>I167-E167*('What-If'!$B$2-G167)</f>
        <v>335.04</v>
      </c>
    </row>
    <row r="168" spans="1:12" x14ac:dyDescent="0.3">
      <c r="A168" s="2" t="s">
        <v>79</v>
      </c>
      <c r="B168" s="2" t="s">
        <v>40</v>
      </c>
      <c r="C168" s="2" t="s">
        <v>9</v>
      </c>
      <c r="D168" s="2" t="s">
        <v>12</v>
      </c>
      <c r="E168" s="4">
        <v>741.88</v>
      </c>
      <c r="F168" s="2">
        <v>16</v>
      </c>
      <c r="G168" s="5">
        <v>0.1</v>
      </c>
      <c r="H168" s="3">
        <v>45695</v>
      </c>
      <c r="I168" s="4">
        <v>333.85</v>
      </c>
      <c r="J168" s="14">
        <f t="shared" ca="1" si="10"/>
        <v>46304.581336574076</v>
      </c>
      <c r="K168" s="7" t="str">
        <f t="shared" si="11"/>
        <v>Feb-2025</v>
      </c>
      <c r="L168" s="15">
        <f>I168-E168*('What-If'!$B$2-G168)</f>
        <v>333.85</v>
      </c>
    </row>
    <row r="169" spans="1:12" x14ac:dyDescent="0.3">
      <c r="A169" s="2" t="s">
        <v>81</v>
      </c>
      <c r="B169" s="2" t="s">
        <v>29</v>
      </c>
      <c r="C169" s="2" t="s">
        <v>11</v>
      </c>
      <c r="D169" s="2" t="s">
        <v>18</v>
      </c>
      <c r="E169" s="4">
        <v>1311.26</v>
      </c>
      <c r="F169" s="2">
        <v>6</v>
      </c>
      <c r="G169" s="5">
        <v>0.1</v>
      </c>
      <c r="H169" s="3">
        <v>45698</v>
      </c>
      <c r="I169" s="4">
        <v>531.05999999999995</v>
      </c>
      <c r="J169" s="14">
        <f t="shared" ca="1" si="10"/>
        <v>46304.581336574076</v>
      </c>
      <c r="K169" s="7" t="str">
        <f t="shared" si="11"/>
        <v>Feb-2025</v>
      </c>
      <c r="L169" s="15">
        <f>I169-E169*('What-If'!$B$2-G169)</f>
        <v>531.05999999999995</v>
      </c>
    </row>
    <row r="170" spans="1:12" x14ac:dyDescent="0.3">
      <c r="A170" s="2" t="s">
        <v>81</v>
      </c>
      <c r="B170" s="2" t="s">
        <v>42</v>
      </c>
      <c r="C170" s="2" t="s">
        <v>15</v>
      </c>
      <c r="D170" s="2" t="s">
        <v>18</v>
      </c>
      <c r="E170" s="4">
        <v>573.32000000000005</v>
      </c>
      <c r="F170" s="2">
        <v>19</v>
      </c>
      <c r="G170" s="5">
        <v>0.1</v>
      </c>
      <c r="H170" s="3">
        <v>45703</v>
      </c>
      <c r="I170" s="4">
        <v>232.19</v>
      </c>
      <c r="J170" s="14">
        <f t="shared" ca="1" si="10"/>
        <v>46304.581336574076</v>
      </c>
      <c r="K170" s="7" t="str">
        <f t="shared" si="11"/>
        <v>Feb-2025</v>
      </c>
      <c r="L170" s="15">
        <f>I170-E170*('What-If'!$B$2-G170)</f>
        <v>232.19</v>
      </c>
    </row>
    <row r="171" spans="1:12" x14ac:dyDescent="0.3">
      <c r="A171" s="2" t="s">
        <v>61</v>
      </c>
      <c r="B171" s="2" t="s">
        <v>36</v>
      </c>
      <c r="C171" s="2" t="s">
        <v>17</v>
      </c>
      <c r="D171" s="2" t="s">
        <v>14</v>
      </c>
      <c r="E171" s="4">
        <v>1115.22</v>
      </c>
      <c r="F171" s="2">
        <v>14</v>
      </c>
      <c r="G171" s="5">
        <v>0.2</v>
      </c>
      <c r="H171" s="3">
        <v>45705</v>
      </c>
      <c r="I171" s="4">
        <v>223.04</v>
      </c>
      <c r="J171" s="14">
        <f t="shared" ca="1" si="10"/>
        <v>46304.581336574076</v>
      </c>
      <c r="K171" s="7" t="str">
        <f t="shared" si="11"/>
        <v>Feb-2025</v>
      </c>
      <c r="L171" s="15">
        <f>I171-E171*('What-If'!$B$2-G171)</f>
        <v>334.56200000000001</v>
      </c>
    </row>
    <row r="172" spans="1:12" x14ac:dyDescent="0.3">
      <c r="A172" s="2" t="s">
        <v>30</v>
      </c>
      <c r="B172" s="2" t="s">
        <v>54</v>
      </c>
      <c r="C172" s="2" t="s">
        <v>13</v>
      </c>
      <c r="D172" s="2" t="s">
        <v>12</v>
      </c>
      <c r="E172" s="4">
        <v>845.84</v>
      </c>
      <c r="F172" s="2">
        <v>4</v>
      </c>
      <c r="G172" s="5">
        <v>0</v>
      </c>
      <c r="H172" s="3">
        <v>45707</v>
      </c>
      <c r="I172" s="4">
        <v>422.92</v>
      </c>
      <c r="J172" s="14">
        <f t="shared" ca="1" si="10"/>
        <v>46304.581336574076</v>
      </c>
      <c r="K172" s="7" t="str">
        <f t="shared" si="11"/>
        <v>Feb-2025</v>
      </c>
      <c r="L172" s="15">
        <f>I172-E172*('What-If'!$B$2-G172)</f>
        <v>338.33600000000001</v>
      </c>
    </row>
    <row r="173" spans="1:12" x14ac:dyDescent="0.3">
      <c r="A173" s="2" t="s">
        <v>41</v>
      </c>
      <c r="B173" s="2" t="s">
        <v>64</v>
      </c>
      <c r="C173" s="2" t="s">
        <v>17</v>
      </c>
      <c r="D173" s="2" t="s">
        <v>14</v>
      </c>
      <c r="E173" s="4">
        <v>1029.8</v>
      </c>
      <c r="F173" s="2">
        <v>3</v>
      </c>
      <c r="G173" s="5">
        <v>0</v>
      </c>
      <c r="H173" s="3">
        <v>45708</v>
      </c>
      <c r="I173" s="4">
        <v>257.45</v>
      </c>
      <c r="J173" s="14">
        <f t="shared" ca="1" si="10"/>
        <v>46304.581336574076</v>
      </c>
      <c r="K173" s="7" t="str">
        <f t="shared" si="11"/>
        <v>Feb-2025</v>
      </c>
      <c r="L173" s="15">
        <f>I173-E173*('What-If'!$B$2-G173)</f>
        <v>154.46999999999997</v>
      </c>
    </row>
    <row r="174" spans="1:12" x14ac:dyDescent="0.3">
      <c r="A174" s="2" t="s">
        <v>43</v>
      </c>
      <c r="B174" s="2" t="s">
        <v>42</v>
      </c>
      <c r="C174" s="2" t="s">
        <v>13</v>
      </c>
      <c r="D174" s="2" t="s">
        <v>10</v>
      </c>
      <c r="E174" s="4">
        <v>1189.83</v>
      </c>
      <c r="F174" s="2">
        <v>2</v>
      </c>
      <c r="G174" s="5">
        <v>0.2</v>
      </c>
      <c r="H174" s="3">
        <v>45709</v>
      </c>
      <c r="I174" s="4">
        <v>380.75</v>
      </c>
      <c r="J174" s="14">
        <f t="shared" ca="1" si="10"/>
        <v>46304.581336574076</v>
      </c>
      <c r="K174" s="7" t="str">
        <f t="shared" si="11"/>
        <v>Feb-2025</v>
      </c>
      <c r="L174" s="15">
        <f>I174-E174*('What-If'!$B$2-G174)</f>
        <v>499.733</v>
      </c>
    </row>
    <row r="175" spans="1:12" x14ac:dyDescent="0.3">
      <c r="A175" s="2" t="s">
        <v>76</v>
      </c>
      <c r="B175" s="2" t="s">
        <v>52</v>
      </c>
      <c r="C175" s="2" t="s">
        <v>15</v>
      </c>
      <c r="D175" s="2" t="s">
        <v>10</v>
      </c>
      <c r="E175" s="4">
        <v>704.28</v>
      </c>
      <c r="F175" s="2">
        <v>15</v>
      </c>
      <c r="G175" s="5">
        <v>0.2</v>
      </c>
      <c r="H175" s="3">
        <v>45712</v>
      </c>
      <c r="I175" s="4">
        <v>225.37</v>
      </c>
      <c r="J175" s="14">
        <f t="shared" ca="1" si="10"/>
        <v>46304.581336574076</v>
      </c>
      <c r="K175" s="7" t="str">
        <f t="shared" si="11"/>
        <v>Feb-2025</v>
      </c>
      <c r="L175" s="15">
        <f>I175-E175*('What-If'!$B$2-G175)</f>
        <v>295.798</v>
      </c>
    </row>
    <row r="176" spans="1:12" x14ac:dyDescent="0.3">
      <c r="A176" s="2" t="s">
        <v>74</v>
      </c>
      <c r="B176" s="2" t="s">
        <v>56</v>
      </c>
      <c r="C176" s="2" t="s">
        <v>9</v>
      </c>
      <c r="D176" s="2" t="s">
        <v>18</v>
      </c>
      <c r="E176" s="4">
        <v>1618.22</v>
      </c>
      <c r="F176" s="2">
        <v>12</v>
      </c>
      <c r="G176" s="5">
        <v>0.2</v>
      </c>
      <c r="H176" s="3">
        <v>45712</v>
      </c>
      <c r="I176" s="4">
        <v>582.55999999999995</v>
      </c>
      <c r="J176" s="14">
        <f t="shared" ca="1" si="10"/>
        <v>46304.581336574076</v>
      </c>
      <c r="K176" s="7" t="str">
        <f t="shared" si="11"/>
        <v>Feb-2025</v>
      </c>
      <c r="L176" s="15">
        <f>I176-E176*('What-If'!$B$2-G176)</f>
        <v>744.38199999999995</v>
      </c>
    </row>
    <row r="177" spans="1:12" x14ac:dyDescent="0.3">
      <c r="A177" s="2" t="s">
        <v>82</v>
      </c>
      <c r="B177" s="2" t="s">
        <v>62</v>
      </c>
      <c r="C177" s="2" t="s">
        <v>9</v>
      </c>
      <c r="D177" s="2" t="s">
        <v>10</v>
      </c>
      <c r="E177" s="4">
        <v>1014.43</v>
      </c>
      <c r="F177" s="2">
        <v>2</v>
      </c>
      <c r="G177" s="5">
        <v>0.15</v>
      </c>
      <c r="H177" s="3">
        <v>45713</v>
      </c>
      <c r="I177" s="4">
        <v>344.91</v>
      </c>
      <c r="J177" s="14">
        <f t="shared" ca="1" si="10"/>
        <v>46304.581336574076</v>
      </c>
      <c r="K177" s="7" t="str">
        <f t="shared" si="11"/>
        <v>Feb-2025</v>
      </c>
      <c r="L177" s="15">
        <f>I177-E177*('What-If'!$B$2-G177)</f>
        <v>395.63150000000002</v>
      </c>
    </row>
    <row r="178" spans="1:12" x14ac:dyDescent="0.3">
      <c r="A178" s="2" t="s">
        <v>84</v>
      </c>
      <c r="B178" s="2" t="s">
        <v>42</v>
      </c>
      <c r="C178" s="2" t="s">
        <v>9</v>
      </c>
      <c r="D178" s="2" t="s">
        <v>12</v>
      </c>
      <c r="E178" s="4">
        <v>826.97</v>
      </c>
      <c r="F178" s="2">
        <v>18</v>
      </c>
      <c r="G178" s="5">
        <v>0.2</v>
      </c>
      <c r="H178" s="3">
        <v>45715</v>
      </c>
      <c r="I178" s="4">
        <v>330.79</v>
      </c>
      <c r="J178" s="14">
        <f t="shared" ca="1" si="10"/>
        <v>46304.581336574076</v>
      </c>
      <c r="K178" s="7" t="str">
        <f t="shared" si="11"/>
        <v>Feb-2025</v>
      </c>
      <c r="L178" s="15">
        <f>I178-E178*('What-If'!$B$2-G178)</f>
        <v>413.48700000000002</v>
      </c>
    </row>
    <row r="179" spans="1:12" x14ac:dyDescent="0.3">
      <c r="A179" s="2" t="s">
        <v>32</v>
      </c>
      <c r="B179" s="2" t="s">
        <v>42</v>
      </c>
      <c r="C179" s="2" t="s">
        <v>9</v>
      </c>
      <c r="D179" s="2" t="s">
        <v>12</v>
      </c>
      <c r="E179" s="4">
        <v>1022.23</v>
      </c>
      <c r="F179" s="2">
        <v>8</v>
      </c>
      <c r="G179" s="5">
        <v>0.1</v>
      </c>
      <c r="H179" s="3">
        <v>45717</v>
      </c>
      <c r="I179" s="4">
        <v>460</v>
      </c>
      <c r="J179" s="14">
        <f t="shared" ca="1" si="10"/>
        <v>46304.581336574076</v>
      </c>
      <c r="K179" s="7" t="str">
        <f t="shared" si="11"/>
        <v>Mar-2025</v>
      </c>
      <c r="L179" s="15">
        <f>I179-E179*('What-If'!$B$2-G179)</f>
        <v>460</v>
      </c>
    </row>
    <row r="180" spans="1:12" x14ac:dyDescent="0.3">
      <c r="A180" s="2" t="s">
        <v>81</v>
      </c>
      <c r="B180" s="2" t="s">
        <v>40</v>
      </c>
      <c r="C180" s="2" t="s">
        <v>11</v>
      </c>
      <c r="D180" s="2" t="s">
        <v>10</v>
      </c>
      <c r="E180" s="4">
        <v>1099.69</v>
      </c>
      <c r="F180" s="2">
        <v>6</v>
      </c>
      <c r="G180" s="5">
        <v>0</v>
      </c>
      <c r="H180" s="3">
        <v>45718</v>
      </c>
      <c r="I180" s="4">
        <v>439.88</v>
      </c>
      <c r="J180" s="14">
        <f t="shared" ca="1" si="10"/>
        <v>46304.581336574076</v>
      </c>
      <c r="K180" s="7" t="str">
        <f t="shared" si="11"/>
        <v>Mar-2025</v>
      </c>
      <c r="L180" s="15">
        <f>I180-E180*('What-If'!$B$2-G180)</f>
        <v>329.911</v>
      </c>
    </row>
    <row r="181" spans="1:12" x14ac:dyDescent="0.3">
      <c r="A181" s="2" t="s">
        <v>61</v>
      </c>
      <c r="B181" s="2" t="s">
        <v>73</v>
      </c>
      <c r="C181" s="2" t="s">
        <v>13</v>
      </c>
      <c r="D181" s="2" t="s">
        <v>10</v>
      </c>
      <c r="E181" s="4">
        <v>710.52</v>
      </c>
      <c r="F181" s="2">
        <v>8</v>
      </c>
      <c r="G181" s="5">
        <v>0.1</v>
      </c>
      <c r="H181" s="3">
        <v>45721</v>
      </c>
      <c r="I181" s="4">
        <v>255.79</v>
      </c>
      <c r="J181" s="14">
        <f t="shared" ca="1" si="10"/>
        <v>46304.581336574076</v>
      </c>
      <c r="K181" s="7" t="str">
        <f t="shared" si="11"/>
        <v>Mar-2025</v>
      </c>
      <c r="L181" s="15">
        <f>I181-E181*('What-If'!$B$2-G181)</f>
        <v>255.79</v>
      </c>
    </row>
    <row r="182" spans="1:12" x14ac:dyDescent="0.3">
      <c r="A182" s="2" t="s">
        <v>61</v>
      </c>
      <c r="B182" s="2" t="s">
        <v>68</v>
      </c>
      <c r="C182" s="2" t="s">
        <v>13</v>
      </c>
      <c r="D182" s="2" t="s">
        <v>10</v>
      </c>
      <c r="E182" s="4">
        <v>499.18</v>
      </c>
      <c r="F182" s="2">
        <v>15</v>
      </c>
      <c r="G182" s="5">
        <v>0.2</v>
      </c>
      <c r="H182" s="3">
        <v>45724</v>
      </c>
      <c r="I182" s="4">
        <v>159.74</v>
      </c>
      <c r="J182" s="14">
        <f t="shared" ca="1" si="10"/>
        <v>46304.581336574076</v>
      </c>
      <c r="K182" s="7" t="str">
        <f t="shared" si="11"/>
        <v>Mar-2025</v>
      </c>
      <c r="L182" s="15">
        <f>I182-E182*('What-If'!$B$2-G182)</f>
        <v>209.65800000000002</v>
      </c>
    </row>
    <row r="183" spans="1:12" x14ac:dyDescent="0.3">
      <c r="A183" s="2" t="s">
        <v>47</v>
      </c>
      <c r="B183" s="2" t="s">
        <v>48</v>
      </c>
      <c r="C183" s="2" t="s">
        <v>15</v>
      </c>
      <c r="D183" s="2" t="s">
        <v>10</v>
      </c>
      <c r="E183" s="4">
        <v>1064.19</v>
      </c>
      <c r="F183" s="2">
        <v>18</v>
      </c>
      <c r="G183" s="5">
        <v>0.05</v>
      </c>
      <c r="H183" s="3">
        <v>45725</v>
      </c>
      <c r="I183" s="4">
        <v>404.39</v>
      </c>
      <c r="J183" s="14">
        <f t="shared" ca="1" si="10"/>
        <v>46304.581336574076</v>
      </c>
      <c r="K183" s="7" t="str">
        <f t="shared" si="11"/>
        <v>Mar-2025</v>
      </c>
      <c r="L183" s="15">
        <f>I183-E183*('What-If'!$B$2-G183)</f>
        <v>351.18049999999999</v>
      </c>
    </row>
    <row r="184" spans="1:12" x14ac:dyDescent="0.3">
      <c r="A184" s="2" t="s">
        <v>76</v>
      </c>
      <c r="B184" s="2" t="s">
        <v>48</v>
      </c>
      <c r="C184" s="2" t="s">
        <v>11</v>
      </c>
      <c r="D184" s="2" t="s">
        <v>18</v>
      </c>
      <c r="E184" s="4">
        <v>438.76</v>
      </c>
      <c r="F184" s="2">
        <v>18</v>
      </c>
      <c r="G184" s="5">
        <v>0.05</v>
      </c>
      <c r="H184" s="3">
        <v>45726</v>
      </c>
      <c r="I184" s="4">
        <v>187.57</v>
      </c>
      <c r="J184" s="14">
        <f t="shared" ca="1" si="10"/>
        <v>46304.581336574076</v>
      </c>
      <c r="K184" s="7" t="str">
        <f t="shared" si="11"/>
        <v>Mar-2025</v>
      </c>
      <c r="L184" s="15">
        <f>I184-E184*('What-If'!$B$2-G184)</f>
        <v>165.63200000000001</v>
      </c>
    </row>
    <row r="185" spans="1:12" x14ac:dyDescent="0.3">
      <c r="A185" s="2" t="s">
        <v>50</v>
      </c>
      <c r="B185" s="2" t="s">
        <v>64</v>
      </c>
      <c r="C185" s="2" t="s">
        <v>17</v>
      </c>
      <c r="D185" s="2" t="s">
        <v>12</v>
      </c>
      <c r="E185" s="4">
        <v>864.98</v>
      </c>
      <c r="F185" s="2">
        <v>2</v>
      </c>
      <c r="G185" s="5">
        <v>0.05</v>
      </c>
      <c r="H185" s="3">
        <v>45727</v>
      </c>
      <c r="I185" s="4">
        <v>410.87</v>
      </c>
      <c r="J185" s="14">
        <f t="shared" ca="1" si="10"/>
        <v>46304.581336574076</v>
      </c>
      <c r="K185" s="7" t="str">
        <f t="shared" si="11"/>
        <v>Mar-2025</v>
      </c>
      <c r="L185" s="15">
        <f>I185-E185*('What-If'!$B$2-G185)</f>
        <v>367.62099999999998</v>
      </c>
    </row>
    <row r="186" spans="1:12" x14ac:dyDescent="0.3">
      <c r="A186" s="2" t="s">
        <v>66</v>
      </c>
      <c r="B186" s="2" t="s">
        <v>64</v>
      </c>
      <c r="C186" s="2" t="s">
        <v>17</v>
      </c>
      <c r="D186" s="2" t="s">
        <v>16</v>
      </c>
      <c r="E186" s="4">
        <v>984.93</v>
      </c>
      <c r="F186" s="2">
        <v>14</v>
      </c>
      <c r="G186" s="5">
        <v>0.2</v>
      </c>
      <c r="H186" s="3">
        <v>45733</v>
      </c>
      <c r="I186" s="4">
        <v>275.77999999999997</v>
      </c>
      <c r="J186" s="14">
        <f t="shared" ca="1" si="10"/>
        <v>46304.581336574076</v>
      </c>
      <c r="K186" s="7" t="str">
        <f t="shared" si="11"/>
        <v>Mar-2025</v>
      </c>
      <c r="L186" s="15">
        <f>I186-E186*('What-If'!$B$2-G186)</f>
        <v>374.27299999999997</v>
      </c>
    </row>
    <row r="187" spans="1:12" x14ac:dyDescent="0.3">
      <c r="A187" s="2" t="s">
        <v>37</v>
      </c>
      <c r="B187" s="2" t="s">
        <v>64</v>
      </c>
      <c r="C187" s="2" t="s">
        <v>17</v>
      </c>
      <c r="D187" s="2" t="s">
        <v>12</v>
      </c>
      <c r="E187" s="4">
        <v>1493.49</v>
      </c>
      <c r="F187" s="2">
        <v>18</v>
      </c>
      <c r="G187" s="5">
        <v>0</v>
      </c>
      <c r="H187" s="3">
        <v>45734</v>
      </c>
      <c r="I187" s="4">
        <v>746.74</v>
      </c>
      <c r="J187" s="14">
        <f t="shared" ca="1" si="10"/>
        <v>46304.581336574076</v>
      </c>
      <c r="K187" s="7" t="str">
        <f t="shared" si="11"/>
        <v>Mar-2025</v>
      </c>
      <c r="L187" s="15">
        <f>I187-E187*('What-If'!$B$2-G187)</f>
        <v>597.39099999999996</v>
      </c>
    </row>
    <row r="188" spans="1:12" x14ac:dyDescent="0.3">
      <c r="A188" s="2" t="s">
        <v>43</v>
      </c>
      <c r="B188" s="2" t="s">
        <v>62</v>
      </c>
      <c r="C188" s="2" t="s">
        <v>15</v>
      </c>
      <c r="D188" s="2" t="s">
        <v>12</v>
      </c>
      <c r="E188" s="4">
        <v>689.43</v>
      </c>
      <c r="F188" s="2">
        <v>9</v>
      </c>
      <c r="G188" s="5">
        <v>0.1</v>
      </c>
      <c r="H188" s="3">
        <v>45736</v>
      </c>
      <c r="I188" s="4">
        <v>310.24</v>
      </c>
      <c r="J188" s="14">
        <f t="shared" ca="1" si="10"/>
        <v>46304.581336574076</v>
      </c>
      <c r="K188" s="7" t="str">
        <f t="shared" si="11"/>
        <v>Mar-2025</v>
      </c>
      <c r="L188" s="15">
        <f>I188-E188*('What-If'!$B$2-G188)</f>
        <v>310.24</v>
      </c>
    </row>
    <row r="189" spans="1:12" x14ac:dyDescent="0.3">
      <c r="A189" s="2" t="s">
        <v>49</v>
      </c>
      <c r="B189" s="2" t="s">
        <v>68</v>
      </c>
      <c r="C189" s="2" t="s">
        <v>15</v>
      </c>
      <c r="D189" s="2" t="s">
        <v>12</v>
      </c>
      <c r="E189" s="4">
        <v>682.24</v>
      </c>
      <c r="F189" s="2">
        <v>1</v>
      </c>
      <c r="G189" s="5">
        <v>0</v>
      </c>
      <c r="H189" s="3">
        <v>45738</v>
      </c>
      <c r="I189" s="4">
        <v>341.12</v>
      </c>
      <c r="J189" s="14">
        <f t="shared" ca="1" si="10"/>
        <v>46304.581336574076</v>
      </c>
      <c r="K189" s="7" t="str">
        <f t="shared" si="11"/>
        <v>Mar-2025</v>
      </c>
      <c r="L189" s="15">
        <f>I189-E189*('What-If'!$B$2-G189)</f>
        <v>272.89600000000002</v>
      </c>
    </row>
    <row r="190" spans="1:12" x14ac:dyDescent="0.3">
      <c r="A190" s="2" t="s">
        <v>50</v>
      </c>
      <c r="B190" s="2" t="s">
        <v>38</v>
      </c>
      <c r="C190" s="2" t="s">
        <v>13</v>
      </c>
      <c r="D190" s="2" t="s">
        <v>14</v>
      </c>
      <c r="E190" s="4">
        <v>458.54</v>
      </c>
      <c r="F190" s="2">
        <v>15</v>
      </c>
      <c r="G190" s="5">
        <v>0.2</v>
      </c>
      <c r="H190" s="3">
        <v>45741</v>
      </c>
      <c r="I190" s="4">
        <v>91.71</v>
      </c>
      <c r="J190" s="14">
        <f t="shared" ca="1" si="10"/>
        <v>46304.581336574076</v>
      </c>
      <c r="K190" s="7" t="str">
        <f t="shared" si="11"/>
        <v>Mar-2025</v>
      </c>
      <c r="L190" s="15">
        <f>I190-E190*('What-If'!$B$2-G190)</f>
        <v>137.56399999999999</v>
      </c>
    </row>
    <row r="191" spans="1:12" x14ac:dyDescent="0.3">
      <c r="A191" s="2" t="s">
        <v>43</v>
      </c>
      <c r="B191" s="2" t="s">
        <v>38</v>
      </c>
      <c r="C191" s="2" t="s">
        <v>15</v>
      </c>
      <c r="D191" s="2" t="s">
        <v>16</v>
      </c>
      <c r="E191" s="4">
        <v>1184.25</v>
      </c>
      <c r="F191" s="2">
        <v>11</v>
      </c>
      <c r="G191" s="5">
        <v>0.2</v>
      </c>
      <c r="H191" s="3">
        <v>45742</v>
      </c>
      <c r="I191" s="4">
        <v>331.59</v>
      </c>
      <c r="J191" s="14">
        <f t="shared" ca="1" si="10"/>
        <v>46304.581336574076</v>
      </c>
      <c r="K191" s="7" t="str">
        <f t="shared" si="11"/>
        <v>Mar-2025</v>
      </c>
      <c r="L191" s="15">
        <f>I191-E191*('What-If'!$B$2-G191)</f>
        <v>450.01499999999999</v>
      </c>
    </row>
    <row r="192" spans="1:12" x14ac:dyDescent="0.3">
      <c r="A192" s="2" t="s">
        <v>37</v>
      </c>
      <c r="B192" s="2" t="s">
        <v>29</v>
      </c>
      <c r="C192" s="2" t="s">
        <v>15</v>
      </c>
      <c r="D192" s="2" t="s">
        <v>12</v>
      </c>
      <c r="E192" s="4">
        <v>762.14</v>
      </c>
      <c r="F192" s="2">
        <v>9</v>
      </c>
      <c r="G192" s="5">
        <v>0</v>
      </c>
      <c r="H192" s="3">
        <v>45743</v>
      </c>
      <c r="I192" s="4">
        <v>381.07</v>
      </c>
      <c r="J192" s="14">
        <f t="shared" ca="1" si="10"/>
        <v>46304.581336574076</v>
      </c>
      <c r="K192" s="7" t="str">
        <f t="shared" si="11"/>
        <v>Mar-2025</v>
      </c>
      <c r="L192" s="15">
        <f>I192-E192*('What-If'!$B$2-G192)</f>
        <v>304.85599999999999</v>
      </c>
    </row>
    <row r="193" spans="1:12" x14ac:dyDescent="0.3">
      <c r="A193" s="2" t="s">
        <v>35</v>
      </c>
      <c r="B193" s="2" t="s">
        <v>62</v>
      </c>
      <c r="C193" s="2" t="s">
        <v>13</v>
      </c>
      <c r="D193" s="2" t="s">
        <v>10</v>
      </c>
      <c r="E193" s="4">
        <v>750.71</v>
      </c>
      <c r="F193" s="2">
        <v>10</v>
      </c>
      <c r="G193" s="5">
        <v>0.15</v>
      </c>
      <c r="H193" s="3">
        <v>45743</v>
      </c>
      <c r="I193" s="4">
        <v>255.24</v>
      </c>
      <c r="J193" s="14">
        <f t="shared" ca="1" si="10"/>
        <v>46304.581336574076</v>
      </c>
      <c r="K193" s="7" t="str">
        <f t="shared" si="11"/>
        <v>Mar-2025</v>
      </c>
      <c r="L193" s="15">
        <f>I193-E193*('What-If'!$B$2-G193)</f>
        <v>292.77550000000002</v>
      </c>
    </row>
    <row r="194" spans="1:12" x14ac:dyDescent="0.3">
      <c r="A194" s="2" t="s">
        <v>84</v>
      </c>
      <c r="B194" s="2" t="s">
        <v>80</v>
      </c>
      <c r="C194" s="2" t="s">
        <v>9</v>
      </c>
      <c r="D194" s="2" t="s">
        <v>12</v>
      </c>
      <c r="E194" s="4">
        <v>1456.94</v>
      </c>
      <c r="F194" s="2">
        <v>14</v>
      </c>
      <c r="G194" s="5">
        <v>0.05</v>
      </c>
      <c r="H194" s="3">
        <v>45745</v>
      </c>
      <c r="I194" s="4">
        <v>692.05</v>
      </c>
      <c r="J194" s="14">
        <f t="shared" ref="J194:J201" ca="1" si="12">NOW()</f>
        <v>46304.581336574076</v>
      </c>
      <c r="K194" s="7" t="str">
        <f t="shared" ref="K194:K201" si="13">TEXT(H194,"mmm-yyyy")</f>
        <v>Mar-2025</v>
      </c>
      <c r="L194" s="15">
        <f>I194-E194*('What-If'!$B$2-G194)</f>
        <v>619.20299999999997</v>
      </c>
    </row>
    <row r="195" spans="1:12" x14ac:dyDescent="0.3">
      <c r="A195" s="2" t="s">
        <v>53</v>
      </c>
      <c r="B195" s="2" t="s">
        <v>70</v>
      </c>
      <c r="C195" s="2" t="s">
        <v>11</v>
      </c>
      <c r="D195" s="2" t="s">
        <v>16</v>
      </c>
      <c r="E195" s="4">
        <v>1093.3800000000001</v>
      </c>
      <c r="F195" s="2">
        <v>17</v>
      </c>
      <c r="G195" s="5">
        <v>0.1</v>
      </c>
      <c r="H195" s="3">
        <v>45745</v>
      </c>
      <c r="I195" s="4">
        <v>344.41</v>
      </c>
      <c r="J195" s="14">
        <f t="shared" ca="1" si="12"/>
        <v>46304.581336574076</v>
      </c>
      <c r="K195" s="7" t="str">
        <f t="shared" si="13"/>
        <v>Mar-2025</v>
      </c>
      <c r="L195" s="15">
        <f>I195-E195*('What-If'!$B$2-G195)</f>
        <v>344.41</v>
      </c>
    </row>
    <row r="196" spans="1:12" x14ac:dyDescent="0.3">
      <c r="A196" s="2" t="s">
        <v>47</v>
      </c>
      <c r="B196" s="2" t="s">
        <v>52</v>
      </c>
      <c r="C196" s="2" t="s">
        <v>17</v>
      </c>
      <c r="D196" s="2" t="s">
        <v>12</v>
      </c>
      <c r="E196" s="4">
        <v>934.27</v>
      </c>
      <c r="F196" s="2">
        <v>8</v>
      </c>
      <c r="G196" s="5">
        <v>0.15</v>
      </c>
      <c r="H196" s="3">
        <v>45746</v>
      </c>
      <c r="I196" s="4">
        <v>397.06</v>
      </c>
      <c r="J196" s="14">
        <f t="shared" ca="1" si="12"/>
        <v>46304.581336574076</v>
      </c>
      <c r="K196" s="7" t="str">
        <f t="shared" si="13"/>
        <v>Mar-2025</v>
      </c>
      <c r="L196" s="15">
        <f>I196-E196*('What-If'!$B$2-G196)</f>
        <v>443.77350000000001</v>
      </c>
    </row>
    <row r="197" spans="1:12" x14ac:dyDescent="0.3">
      <c r="A197" s="2" t="s">
        <v>79</v>
      </c>
      <c r="B197" s="2" t="s">
        <v>46</v>
      </c>
      <c r="C197" s="2" t="s">
        <v>9</v>
      </c>
      <c r="D197" s="2" t="s">
        <v>12</v>
      </c>
      <c r="E197" s="4">
        <v>1465.35</v>
      </c>
      <c r="F197" s="2">
        <v>8</v>
      </c>
      <c r="G197" s="5">
        <v>0.2</v>
      </c>
      <c r="H197" s="3">
        <v>45746</v>
      </c>
      <c r="I197" s="4">
        <v>586.14</v>
      </c>
      <c r="J197" s="14">
        <f t="shared" ca="1" si="12"/>
        <v>46304.581336574076</v>
      </c>
      <c r="K197" s="7" t="str">
        <f t="shared" si="13"/>
        <v>Mar-2025</v>
      </c>
      <c r="L197" s="15">
        <f>I197-E197*('What-If'!$B$2-G197)</f>
        <v>732.67499999999995</v>
      </c>
    </row>
    <row r="198" spans="1:12" x14ac:dyDescent="0.3">
      <c r="A198" s="2" t="s">
        <v>61</v>
      </c>
      <c r="B198" s="2" t="s">
        <v>31</v>
      </c>
      <c r="C198" s="2" t="s">
        <v>15</v>
      </c>
      <c r="D198" s="2" t="s">
        <v>18</v>
      </c>
      <c r="E198" s="4">
        <v>740.8</v>
      </c>
      <c r="F198" s="2">
        <v>3</v>
      </c>
      <c r="G198" s="5">
        <v>0</v>
      </c>
      <c r="H198" s="3">
        <v>45749</v>
      </c>
      <c r="I198" s="4">
        <v>333.36</v>
      </c>
      <c r="J198" s="14">
        <f t="shared" ca="1" si="12"/>
        <v>46304.581336574076</v>
      </c>
      <c r="K198" s="7" t="str">
        <f t="shared" si="13"/>
        <v>Apr-2025</v>
      </c>
      <c r="L198" s="15">
        <f>I198-E198*('What-If'!$B$2-G198)</f>
        <v>259.28000000000003</v>
      </c>
    </row>
    <row r="199" spans="1:12" x14ac:dyDescent="0.3">
      <c r="A199" s="2" t="s">
        <v>67</v>
      </c>
      <c r="B199" s="2" t="s">
        <v>52</v>
      </c>
      <c r="C199" s="2" t="s">
        <v>17</v>
      </c>
      <c r="D199" s="2" t="s">
        <v>18</v>
      </c>
      <c r="E199" s="4">
        <v>545.44000000000005</v>
      </c>
      <c r="F199" s="2">
        <v>17</v>
      </c>
      <c r="G199" s="5">
        <v>0</v>
      </c>
      <c r="H199" s="3">
        <v>45752</v>
      </c>
      <c r="I199" s="4">
        <v>245.45</v>
      </c>
      <c r="J199" s="14">
        <f t="shared" ca="1" si="12"/>
        <v>46304.581336574076</v>
      </c>
      <c r="K199" s="7" t="str">
        <f t="shared" si="13"/>
        <v>Apr-2025</v>
      </c>
      <c r="L199" s="15">
        <f>I199-E199*('What-If'!$B$2-G199)</f>
        <v>190.90599999999998</v>
      </c>
    </row>
    <row r="200" spans="1:12" x14ac:dyDescent="0.3">
      <c r="A200" s="2" t="s">
        <v>45</v>
      </c>
      <c r="B200" s="2" t="s">
        <v>46</v>
      </c>
      <c r="C200" s="2" t="s">
        <v>11</v>
      </c>
      <c r="D200" s="2" t="s">
        <v>10</v>
      </c>
      <c r="E200" s="4">
        <v>997.61</v>
      </c>
      <c r="F200" s="2">
        <v>8</v>
      </c>
      <c r="G200" s="5">
        <v>0.05</v>
      </c>
      <c r="H200" s="3">
        <v>45752</v>
      </c>
      <c r="I200" s="4">
        <v>379.09</v>
      </c>
      <c r="J200" s="14">
        <f t="shared" ca="1" si="12"/>
        <v>46304.581336574076</v>
      </c>
      <c r="K200" s="7" t="str">
        <f t="shared" si="13"/>
        <v>Apr-2025</v>
      </c>
      <c r="L200" s="15">
        <f>I200-E200*('What-If'!$B$2-G200)</f>
        <v>329.20949999999999</v>
      </c>
    </row>
    <row r="201" spans="1:12" x14ac:dyDescent="0.3">
      <c r="A201" s="2" t="s">
        <v>69</v>
      </c>
      <c r="B201" s="2" t="s">
        <v>46</v>
      </c>
      <c r="C201" s="2" t="s">
        <v>15</v>
      </c>
      <c r="D201" s="2" t="s">
        <v>12</v>
      </c>
      <c r="E201" s="4">
        <v>928.32</v>
      </c>
      <c r="F201" s="2">
        <v>2</v>
      </c>
      <c r="G201" s="5">
        <v>0.05</v>
      </c>
      <c r="H201" s="3">
        <v>45754</v>
      </c>
      <c r="I201" s="4">
        <v>440.95</v>
      </c>
      <c r="J201" s="14">
        <f t="shared" ca="1" si="12"/>
        <v>46304.581336574076</v>
      </c>
      <c r="K201" s="7" t="str">
        <f t="shared" si="13"/>
        <v>Apr-2025</v>
      </c>
      <c r="L201" s="15">
        <f>I201-E201*('What-If'!$B$2-G201)</f>
        <v>394.53399999999999</v>
      </c>
    </row>
  </sheetData>
  <autoFilter ref="A1:L201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pane ySplit="1" topLeftCell="A9" activePane="bottomLeft" state="frozen"/>
      <selection pane="bottomLeft" activeCell="H15" sqref="H15"/>
    </sheetView>
  </sheetViews>
  <sheetFormatPr defaultRowHeight="14.4" x14ac:dyDescent="0.3"/>
  <cols>
    <col min="1" max="1" width="15" customWidth="1"/>
    <col min="2" max="2" width="22" customWidth="1"/>
    <col min="3" max="3" width="24" customWidth="1"/>
    <col min="4" max="4" width="16" customWidth="1"/>
    <col min="5" max="5" width="14" customWidth="1"/>
    <col min="6" max="6" width="12" customWidth="1"/>
  </cols>
  <sheetData>
    <row r="1" spans="1:6" x14ac:dyDescent="0.3">
      <c r="A1" s="17" t="s">
        <v>19</v>
      </c>
      <c r="B1" s="17" t="s">
        <v>20</v>
      </c>
      <c r="C1" s="17" t="s">
        <v>85</v>
      </c>
      <c r="D1" s="17" t="s">
        <v>2</v>
      </c>
      <c r="E1" s="17" t="s">
        <v>86</v>
      </c>
      <c r="F1" s="17" t="s">
        <v>87</v>
      </c>
    </row>
    <row r="2" spans="1:6" x14ac:dyDescent="0.3">
      <c r="A2" s="18" t="s">
        <v>67</v>
      </c>
      <c r="B2" s="18" t="s">
        <v>36</v>
      </c>
      <c r="C2" s="19">
        <v>11611.06</v>
      </c>
      <c r="D2" s="19">
        <v>4201.59</v>
      </c>
      <c r="E2" s="18">
        <v>11</v>
      </c>
      <c r="F2" s="18">
        <f t="shared" ref="F2:F31" si="0">RANK(C2,$C$2:$C$31,0)</f>
        <v>1</v>
      </c>
    </row>
    <row r="3" spans="1:6" x14ac:dyDescent="0.3">
      <c r="A3" s="18" t="s">
        <v>61</v>
      </c>
      <c r="B3" s="18" t="s">
        <v>36</v>
      </c>
      <c r="C3" s="19">
        <v>10293.870000000001</v>
      </c>
      <c r="D3" s="19">
        <v>3541.02</v>
      </c>
      <c r="E3" s="18">
        <v>12</v>
      </c>
      <c r="F3" s="18">
        <f t="shared" si="0"/>
        <v>2</v>
      </c>
    </row>
    <row r="4" spans="1:6" x14ac:dyDescent="0.3">
      <c r="A4" s="18" t="s">
        <v>37</v>
      </c>
      <c r="B4" s="18" t="s">
        <v>64</v>
      </c>
      <c r="C4" s="19">
        <v>9941.8799999999992</v>
      </c>
      <c r="D4" s="19">
        <v>3936.26</v>
      </c>
      <c r="E4" s="18">
        <v>10</v>
      </c>
      <c r="F4" s="18">
        <f t="shared" si="0"/>
        <v>3</v>
      </c>
    </row>
    <row r="5" spans="1:6" x14ac:dyDescent="0.3">
      <c r="A5" s="18" t="s">
        <v>53</v>
      </c>
      <c r="B5" s="18" t="s">
        <v>36</v>
      </c>
      <c r="C5" s="19">
        <v>9760.8000000000011</v>
      </c>
      <c r="D5" s="19">
        <v>3442.48</v>
      </c>
      <c r="E5" s="18">
        <v>10</v>
      </c>
      <c r="F5" s="18">
        <f t="shared" si="0"/>
        <v>4</v>
      </c>
    </row>
    <row r="6" spans="1:6" x14ac:dyDescent="0.3">
      <c r="A6" s="18" t="s">
        <v>41</v>
      </c>
      <c r="B6" s="18" t="s">
        <v>42</v>
      </c>
      <c r="C6" s="19">
        <v>9371.81</v>
      </c>
      <c r="D6" s="19">
        <v>2922.02</v>
      </c>
      <c r="E6" s="18">
        <v>9</v>
      </c>
      <c r="F6" s="18">
        <f t="shared" si="0"/>
        <v>5</v>
      </c>
    </row>
    <row r="7" spans="1:6" x14ac:dyDescent="0.3">
      <c r="A7" s="18" t="s">
        <v>66</v>
      </c>
      <c r="B7" s="18" t="s">
        <v>36</v>
      </c>
      <c r="C7" s="19">
        <v>8740.18</v>
      </c>
      <c r="D7" s="19">
        <v>2848.62</v>
      </c>
      <c r="E7" s="18">
        <v>8</v>
      </c>
      <c r="F7" s="18">
        <f t="shared" si="0"/>
        <v>6</v>
      </c>
    </row>
    <row r="8" spans="1:6" x14ac:dyDescent="0.3">
      <c r="A8" s="18" t="s">
        <v>76</v>
      </c>
      <c r="B8" s="18" t="s">
        <v>36</v>
      </c>
      <c r="C8" s="19">
        <v>8490.18</v>
      </c>
      <c r="D8" s="19">
        <v>2652.75</v>
      </c>
      <c r="E8" s="18">
        <v>9</v>
      </c>
      <c r="F8" s="18">
        <f t="shared" si="0"/>
        <v>7</v>
      </c>
    </row>
    <row r="9" spans="1:6" x14ac:dyDescent="0.3">
      <c r="A9" s="18" t="s">
        <v>30</v>
      </c>
      <c r="B9" s="18" t="s">
        <v>80</v>
      </c>
      <c r="C9" s="19">
        <v>8339</v>
      </c>
      <c r="D9" s="19">
        <v>2988.71</v>
      </c>
      <c r="E9" s="18">
        <v>9</v>
      </c>
      <c r="F9" s="18">
        <f t="shared" si="0"/>
        <v>8</v>
      </c>
    </row>
    <row r="10" spans="1:6" x14ac:dyDescent="0.3">
      <c r="A10" s="18" t="s">
        <v>35</v>
      </c>
      <c r="B10" s="18" t="s">
        <v>42</v>
      </c>
      <c r="C10" s="19">
        <v>7928.71</v>
      </c>
      <c r="D10" s="19">
        <v>2965.48</v>
      </c>
      <c r="E10" s="18">
        <v>9</v>
      </c>
      <c r="F10" s="18">
        <f t="shared" si="0"/>
        <v>9</v>
      </c>
    </row>
    <row r="11" spans="1:6" x14ac:dyDescent="0.3">
      <c r="A11" s="18" t="s">
        <v>81</v>
      </c>
      <c r="B11" s="18" t="s">
        <v>42</v>
      </c>
      <c r="C11" s="19">
        <v>7813.59</v>
      </c>
      <c r="D11" s="19">
        <v>3211.82</v>
      </c>
      <c r="E11" s="18">
        <v>7</v>
      </c>
      <c r="F11" s="18">
        <f t="shared" si="0"/>
        <v>10</v>
      </c>
    </row>
    <row r="12" spans="1:6" x14ac:dyDescent="0.3">
      <c r="A12" s="18" t="s">
        <v>79</v>
      </c>
      <c r="B12" s="18" t="s">
        <v>64</v>
      </c>
      <c r="C12" s="19">
        <v>7583.1299999999992</v>
      </c>
      <c r="D12" s="19">
        <v>2492.1</v>
      </c>
      <c r="E12" s="18">
        <v>7</v>
      </c>
      <c r="F12" s="18">
        <f t="shared" si="0"/>
        <v>11</v>
      </c>
    </row>
    <row r="13" spans="1:6" x14ac:dyDescent="0.3">
      <c r="A13" s="18" t="s">
        <v>47</v>
      </c>
      <c r="B13" s="18" t="s">
        <v>48</v>
      </c>
      <c r="C13" s="19">
        <v>6729.89</v>
      </c>
      <c r="D13" s="19">
        <v>2507.1799999999998</v>
      </c>
      <c r="E13" s="18">
        <v>6</v>
      </c>
      <c r="F13" s="18">
        <f t="shared" si="0"/>
        <v>12</v>
      </c>
    </row>
    <row r="14" spans="1:6" x14ac:dyDescent="0.3">
      <c r="A14" s="18" t="s">
        <v>63</v>
      </c>
      <c r="B14" s="18" t="s">
        <v>64</v>
      </c>
      <c r="C14" s="19">
        <v>6716.52</v>
      </c>
      <c r="D14" s="19">
        <v>2327.84</v>
      </c>
      <c r="E14" s="18">
        <v>6</v>
      </c>
      <c r="F14" s="18">
        <f t="shared" si="0"/>
        <v>13</v>
      </c>
    </row>
    <row r="15" spans="1:6" x14ac:dyDescent="0.3">
      <c r="A15" s="18" t="s">
        <v>34</v>
      </c>
      <c r="B15" s="18" t="s">
        <v>31</v>
      </c>
      <c r="C15" s="19">
        <v>6666.13</v>
      </c>
      <c r="D15" s="19">
        <v>1982.39</v>
      </c>
      <c r="E15" s="18">
        <v>6</v>
      </c>
      <c r="F15" s="18">
        <f t="shared" si="0"/>
        <v>14</v>
      </c>
    </row>
    <row r="16" spans="1:6" x14ac:dyDescent="0.3">
      <c r="A16" s="18" t="s">
        <v>39</v>
      </c>
      <c r="B16" s="18" t="s">
        <v>54</v>
      </c>
      <c r="C16" s="19">
        <v>6549.55</v>
      </c>
      <c r="D16" s="19">
        <v>1868.77</v>
      </c>
      <c r="E16" s="18">
        <v>7</v>
      </c>
      <c r="F16" s="18">
        <f t="shared" si="0"/>
        <v>15</v>
      </c>
    </row>
    <row r="17" spans="1:6" x14ac:dyDescent="0.3">
      <c r="A17" s="18" t="s">
        <v>43</v>
      </c>
      <c r="B17" s="18" t="s">
        <v>48</v>
      </c>
      <c r="C17" s="19">
        <v>6505.2</v>
      </c>
      <c r="D17" s="19">
        <v>2052.54</v>
      </c>
      <c r="E17" s="18">
        <v>7</v>
      </c>
      <c r="F17" s="18">
        <f t="shared" si="0"/>
        <v>16</v>
      </c>
    </row>
    <row r="18" spans="1:6" x14ac:dyDescent="0.3">
      <c r="A18" s="18" t="s">
        <v>74</v>
      </c>
      <c r="B18" s="18" t="s">
        <v>57</v>
      </c>
      <c r="C18" s="19">
        <v>6481.43</v>
      </c>
      <c r="D18" s="19">
        <v>2210.7399999999998</v>
      </c>
      <c r="E18" s="18">
        <v>6</v>
      </c>
      <c r="F18" s="18">
        <f t="shared" si="0"/>
        <v>17</v>
      </c>
    </row>
    <row r="19" spans="1:6" x14ac:dyDescent="0.3">
      <c r="A19" s="18" t="s">
        <v>49</v>
      </c>
      <c r="B19" s="18" t="s">
        <v>64</v>
      </c>
      <c r="C19" s="19">
        <v>5913.68</v>
      </c>
      <c r="D19" s="19">
        <v>2198.62</v>
      </c>
      <c r="E19" s="18">
        <v>7</v>
      </c>
      <c r="F19" s="18">
        <f t="shared" si="0"/>
        <v>18</v>
      </c>
    </row>
    <row r="20" spans="1:6" x14ac:dyDescent="0.3">
      <c r="A20" s="18" t="s">
        <v>50</v>
      </c>
      <c r="B20" s="18" t="s">
        <v>70</v>
      </c>
      <c r="C20" s="19">
        <v>5779.05</v>
      </c>
      <c r="D20" s="19">
        <v>1611.66</v>
      </c>
      <c r="E20" s="18">
        <v>7</v>
      </c>
      <c r="F20" s="18">
        <f t="shared" si="0"/>
        <v>19</v>
      </c>
    </row>
    <row r="21" spans="1:6" x14ac:dyDescent="0.3">
      <c r="A21" s="18" t="s">
        <v>84</v>
      </c>
      <c r="B21" s="18" t="s">
        <v>80</v>
      </c>
      <c r="C21" s="19">
        <v>4951.8899999999994</v>
      </c>
      <c r="D21" s="19">
        <v>1821.64</v>
      </c>
      <c r="E21" s="18">
        <v>5</v>
      </c>
      <c r="F21" s="18">
        <f t="shared" si="0"/>
        <v>20</v>
      </c>
    </row>
    <row r="22" spans="1:6" x14ac:dyDescent="0.3">
      <c r="A22" s="18" t="s">
        <v>28</v>
      </c>
      <c r="B22" s="18" t="s">
        <v>64</v>
      </c>
      <c r="C22" s="19">
        <v>4640.1099999999997</v>
      </c>
      <c r="D22" s="19">
        <v>1721.12</v>
      </c>
      <c r="E22" s="18">
        <v>5</v>
      </c>
      <c r="F22" s="18">
        <f t="shared" si="0"/>
        <v>21</v>
      </c>
    </row>
    <row r="23" spans="1:6" x14ac:dyDescent="0.3">
      <c r="A23" s="18" t="s">
        <v>58</v>
      </c>
      <c r="B23" s="18" t="s">
        <v>65</v>
      </c>
      <c r="C23" s="19">
        <v>4418.28</v>
      </c>
      <c r="D23" s="19">
        <v>1605.23</v>
      </c>
      <c r="E23" s="18">
        <v>5</v>
      </c>
      <c r="F23" s="18">
        <f t="shared" si="0"/>
        <v>22</v>
      </c>
    </row>
    <row r="24" spans="1:6" x14ac:dyDescent="0.3">
      <c r="A24" s="18" t="s">
        <v>77</v>
      </c>
      <c r="B24" s="18" t="s">
        <v>64</v>
      </c>
      <c r="C24" s="19">
        <v>4413.71</v>
      </c>
      <c r="D24" s="19">
        <v>1664.79</v>
      </c>
      <c r="E24" s="18">
        <v>4</v>
      </c>
      <c r="F24" s="18">
        <f t="shared" si="0"/>
        <v>23</v>
      </c>
    </row>
    <row r="25" spans="1:6" x14ac:dyDescent="0.3">
      <c r="A25" s="18" t="s">
        <v>45</v>
      </c>
      <c r="B25" s="18" t="s">
        <v>46</v>
      </c>
      <c r="C25" s="19">
        <v>4259.22</v>
      </c>
      <c r="D25" s="19">
        <v>1529.32</v>
      </c>
      <c r="E25" s="18">
        <v>5</v>
      </c>
      <c r="F25" s="18">
        <f t="shared" si="0"/>
        <v>24</v>
      </c>
    </row>
    <row r="26" spans="1:6" x14ac:dyDescent="0.3">
      <c r="A26" s="18" t="s">
        <v>82</v>
      </c>
      <c r="B26" s="18" t="s">
        <v>62</v>
      </c>
      <c r="C26" s="19">
        <v>4162.4399999999996</v>
      </c>
      <c r="D26" s="19">
        <v>1605.11</v>
      </c>
      <c r="E26" s="18">
        <v>4</v>
      </c>
      <c r="F26" s="18">
        <f t="shared" si="0"/>
        <v>25</v>
      </c>
    </row>
    <row r="27" spans="1:6" x14ac:dyDescent="0.3">
      <c r="A27" s="18" t="s">
        <v>83</v>
      </c>
      <c r="B27" s="18" t="s">
        <v>48</v>
      </c>
      <c r="C27" s="19">
        <v>3906.04</v>
      </c>
      <c r="D27" s="19">
        <v>1240.6500000000001</v>
      </c>
      <c r="E27" s="18">
        <v>5</v>
      </c>
      <c r="F27" s="18">
        <f t="shared" si="0"/>
        <v>26</v>
      </c>
    </row>
    <row r="28" spans="1:6" x14ac:dyDescent="0.3">
      <c r="A28" s="18" t="s">
        <v>72</v>
      </c>
      <c r="B28" s="18" t="s">
        <v>70</v>
      </c>
      <c r="C28" s="19">
        <v>3762.29</v>
      </c>
      <c r="D28" s="19">
        <v>1545.04</v>
      </c>
      <c r="E28" s="18">
        <v>4</v>
      </c>
      <c r="F28" s="18">
        <f t="shared" si="0"/>
        <v>27</v>
      </c>
    </row>
    <row r="29" spans="1:6" x14ac:dyDescent="0.3">
      <c r="A29" s="18" t="s">
        <v>32</v>
      </c>
      <c r="B29" s="18" t="s">
        <v>33</v>
      </c>
      <c r="C29" s="19">
        <v>3419.2</v>
      </c>
      <c r="D29" s="19">
        <v>1257.21</v>
      </c>
      <c r="E29" s="18">
        <v>4</v>
      </c>
      <c r="F29" s="18">
        <f t="shared" si="0"/>
        <v>28</v>
      </c>
    </row>
    <row r="30" spans="1:6" x14ac:dyDescent="0.3">
      <c r="A30" s="18" t="s">
        <v>69</v>
      </c>
      <c r="B30" s="18" t="s">
        <v>46</v>
      </c>
      <c r="C30" s="19">
        <v>3369.17</v>
      </c>
      <c r="D30" s="19">
        <v>1497.25</v>
      </c>
      <c r="E30" s="18">
        <v>4</v>
      </c>
      <c r="F30" s="18">
        <f t="shared" si="0"/>
        <v>29</v>
      </c>
    </row>
    <row r="31" spans="1:6" x14ac:dyDescent="0.3">
      <c r="A31" s="18" t="s">
        <v>55</v>
      </c>
      <c r="B31" s="18" t="s">
        <v>80</v>
      </c>
      <c r="C31" s="19">
        <v>2699.75</v>
      </c>
      <c r="D31" s="19">
        <v>837.06</v>
      </c>
      <c r="E31" s="18">
        <v>2</v>
      </c>
      <c r="F31" s="18">
        <f t="shared" si="0"/>
        <v>30</v>
      </c>
    </row>
  </sheetData>
  <conditionalFormatting sqref="C2:C31">
    <cfRule type="expression" dxfId="1" priority="2">
      <formula>RANK(C2,$C$2:$C$31,0)&lt;=10</formula>
    </cfRule>
  </conditionalFormatting>
  <conditionalFormatting sqref="C2:C172">
    <cfRule type="expression" dxfId="0" priority="1">
      <formula>RANK(C2,$C$2:$C$172,0)&lt;=10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15" sqref="A15"/>
    </sheetView>
  </sheetViews>
  <sheetFormatPr defaultRowHeight="14.4" x14ac:dyDescent="0.3"/>
  <cols>
    <col min="1" max="1" width="67.77734375" customWidth="1"/>
    <col min="2" max="2" width="71.109375" customWidth="1"/>
  </cols>
  <sheetData>
    <row r="1" spans="1:2" ht="18" x14ac:dyDescent="0.3">
      <c r="A1" s="20" t="s">
        <v>88</v>
      </c>
      <c r="B1" s="7"/>
    </row>
    <row r="2" spans="1:2" x14ac:dyDescent="0.3">
      <c r="A2" s="7" t="s">
        <v>89</v>
      </c>
      <c r="B2" s="21">
        <v>0.1</v>
      </c>
    </row>
    <row r="3" spans="1:2" x14ac:dyDescent="0.3">
      <c r="A3" s="22" t="s">
        <v>90</v>
      </c>
      <c r="B3" s="15">
        <f>SUM(Data!I2:I201)</f>
        <v>68287.010000000009</v>
      </c>
    </row>
    <row r="4" spans="1:2" x14ac:dyDescent="0.3">
      <c r="A4" s="22" t="s">
        <v>91</v>
      </c>
      <c r="B4" s="15">
        <f>SUM(Data!L2:L201)</f>
        <v>68037.991500000018</v>
      </c>
    </row>
    <row r="5" spans="1:2" x14ac:dyDescent="0.3">
      <c r="A5" s="22" t="s">
        <v>92</v>
      </c>
      <c r="B5" s="15">
        <f>B4-B3</f>
        <v>-249.01849999999104</v>
      </c>
    </row>
    <row r="6" spans="1:2" x14ac:dyDescent="0.3">
      <c r="A6" s="7" t="s">
        <v>93</v>
      </c>
      <c r="B6" s="7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C13" sqref="C13"/>
    </sheetView>
  </sheetViews>
  <sheetFormatPr defaultRowHeight="14.4" x14ac:dyDescent="0.3"/>
  <cols>
    <col min="1" max="1" width="24" customWidth="1"/>
    <col min="2" max="5" width="18" customWidth="1"/>
  </cols>
  <sheetData>
    <row r="1" spans="1:5" x14ac:dyDescent="0.3">
      <c r="A1" s="16" t="s">
        <v>95</v>
      </c>
      <c r="B1" s="16" t="s">
        <v>6</v>
      </c>
      <c r="C1" s="16" t="s">
        <v>25</v>
      </c>
      <c r="D1" s="16" t="s">
        <v>22</v>
      </c>
      <c r="E1" s="16" t="s">
        <v>23</v>
      </c>
    </row>
    <row r="2" spans="1:5" x14ac:dyDescent="0.3">
      <c r="A2" s="7" t="s">
        <v>96</v>
      </c>
      <c r="B2" s="15">
        <f>COUNT(Data!E2:E201)</f>
        <v>200</v>
      </c>
      <c r="C2" s="15">
        <f>COUNT(Data!I2:I201)</f>
        <v>200</v>
      </c>
      <c r="D2" s="15">
        <f>COUNT(Data!F2:F201)</f>
        <v>200</v>
      </c>
      <c r="E2" s="15">
        <f>COUNT(Data!G2:G201)</f>
        <v>200</v>
      </c>
    </row>
    <row r="3" spans="1:5" x14ac:dyDescent="0.3">
      <c r="A3" s="7" t="s">
        <v>97</v>
      </c>
      <c r="B3" s="15">
        <f>SUM(Data!E2:E201)</f>
        <v>195217.75999999992</v>
      </c>
      <c r="C3" s="15">
        <f>SUM(Data!I2:I201)</f>
        <v>68287.010000000009</v>
      </c>
      <c r="D3" s="15">
        <f>SUM(Data!F2:F201)</f>
        <v>1999</v>
      </c>
      <c r="E3" s="15">
        <f>SUM(Data!G2:G201)</f>
        <v>19.45</v>
      </c>
    </row>
    <row r="4" spans="1:5" x14ac:dyDescent="0.3">
      <c r="A4" s="7" t="s">
        <v>98</v>
      </c>
      <c r="B4" s="15">
        <f>AVERAGE(Data!E2:E201)</f>
        <v>976.08879999999965</v>
      </c>
      <c r="C4" s="15">
        <f>AVERAGE(Data!I2:I201)</f>
        <v>341.43505000000005</v>
      </c>
      <c r="D4" s="15">
        <f>AVERAGE(Data!F2:F201)</f>
        <v>9.9949999999999992</v>
      </c>
      <c r="E4" s="15">
        <f>AVERAGE(Data!G2:G201)</f>
        <v>9.7250000000000003E-2</v>
      </c>
    </row>
    <row r="5" spans="1:5" x14ac:dyDescent="0.3">
      <c r="A5" s="7" t="s">
        <v>99</v>
      </c>
      <c r="B5" s="15">
        <f>MEDIAN(Data!E2:E201)</f>
        <v>976.72</v>
      </c>
      <c r="C5" s="15">
        <f>MEDIAN(Data!I2:I201)</f>
        <v>332.255</v>
      </c>
      <c r="D5" s="15">
        <f>MEDIAN(Data!F2:F201)</f>
        <v>10</v>
      </c>
      <c r="E5" s="15">
        <f>MEDIAN(Data!G2:G201)</f>
        <v>0.1</v>
      </c>
    </row>
    <row r="6" spans="1:5" x14ac:dyDescent="0.3">
      <c r="A6" s="7" t="s">
        <v>100</v>
      </c>
      <c r="B6" s="15">
        <f>MIN(Data!E2:E201)</f>
        <v>258.51</v>
      </c>
      <c r="C6" s="15">
        <f>MIN(Data!I2:I201)</f>
        <v>64.63</v>
      </c>
      <c r="D6" s="15">
        <f>MIN(Data!F2:F201)</f>
        <v>1</v>
      </c>
      <c r="E6" s="15">
        <f>MIN(Data!G2:G201)</f>
        <v>0</v>
      </c>
    </row>
    <row r="7" spans="1:5" x14ac:dyDescent="0.3">
      <c r="A7" s="7" t="s">
        <v>101</v>
      </c>
      <c r="B7" s="15">
        <f>MAX(Data!E2:E201)</f>
        <v>1923.66</v>
      </c>
      <c r="C7" s="15">
        <f>MAX(Data!I2:I201)</f>
        <v>769.46</v>
      </c>
      <c r="D7" s="15">
        <f>MAX(Data!F2:F201)</f>
        <v>19</v>
      </c>
      <c r="E7" s="15">
        <f>MAX(Data!G2:G201)</f>
        <v>0.2</v>
      </c>
    </row>
    <row r="8" spans="1:5" x14ac:dyDescent="0.3">
      <c r="A8" s="7" t="s">
        <v>102</v>
      </c>
      <c r="B8" s="15">
        <f>_xlfn.STDEV.S(Data!E2:E201)</f>
        <v>299.27375909856431</v>
      </c>
      <c r="C8" s="15">
        <f>_xlfn.STDEV.S(Data!I2:I201)</f>
        <v>135.7661940552168</v>
      </c>
      <c r="D8" s="15">
        <f>_xlfn.STDEV.S(Data!F2:F201)</f>
        <v>5.6466270449645082</v>
      </c>
      <c r="E8" s="15">
        <f>_xlfn.STDEV.S(Data!G2:G201)</f>
        <v>7.232629511335488E-2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E12" sqref="E12"/>
    </sheetView>
  </sheetViews>
  <sheetFormatPr defaultRowHeight="14.4" x14ac:dyDescent="0.3"/>
  <cols>
    <col min="1" max="1" width="16" customWidth="1"/>
    <col min="2" max="3" width="18" customWidth="1"/>
    <col min="4" max="5" width="16" customWidth="1"/>
  </cols>
  <sheetData>
    <row r="1" spans="1:5" x14ac:dyDescent="0.3">
      <c r="A1" s="16" t="s">
        <v>7</v>
      </c>
      <c r="B1" s="16" t="s">
        <v>1</v>
      </c>
      <c r="C1" s="16" t="s">
        <v>2</v>
      </c>
      <c r="D1" s="16" t="s">
        <v>103</v>
      </c>
      <c r="E1" s="16" t="s">
        <v>104</v>
      </c>
    </row>
    <row r="2" spans="1:5" x14ac:dyDescent="0.3">
      <c r="A2" s="23">
        <v>45383</v>
      </c>
      <c r="B2" s="15">
        <f>SUMIFS(Data!$E$2:$E$201,Data!$K$2:$K$201,TEXT(A2,"mmm-yyyy"))</f>
        <v>19029.96</v>
      </c>
      <c r="C2" s="15">
        <f>SUMIFS(Data!$I$2:$I$201,Data!$K$2:$K$201,TEXT(A2,"mmm-yyyy"))</f>
        <v>6244.01</v>
      </c>
      <c r="D2" s="24" t="s">
        <v>105</v>
      </c>
      <c r="E2" s="24" t="s">
        <v>105</v>
      </c>
    </row>
    <row r="3" spans="1:5" x14ac:dyDescent="0.3">
      <c r="A3" s="23">
        <v>45413</v>
      </c>
      <c r="B3" s="15">
        <f>SUMIFS(Data!$E$2:$E$201,Data!$K$2:$K$201,TEXT(A3,"mmm-yyyy"))</f>
        <v>18507.339999999997</v>
      </c>
      <c r="C3" s="15">
        <f>SUMIFS(Data!$I$2:$I$201,Data!$K$2:$K$201,TEXT(A3,"mmm-yyyy"))</f>
        <v>6121.3499999999995</v>
      </c>
      <c r="D3" s="24">
        <f t="shared" ref="D3:D14" si="0">IFERROR(B3/B2-1,0)</f>
        <v>-2.7463010957458844E-2</v>
      </c>
      <c r="E3" s="24">
        <f t="shared" ref="E3:E14" si="1">IFERROR(C3/C2-1,0)</f>
        <v>-1.9644427219046801E-2</v>
      </c>
    </row>
    <row r="4" spans="1:5" x14ac:dyDescent="0.3">
      <c r="A4" s="23">
        <v>45444</v>
      </c>
      <c r="B4" s="15">
        <f>SUMIFS(Data!$E$2:$E$201,Data!$K$2:$K$201,TEXT(A4,"mmm-yyyy"))</f>
        <v>20187.509999999998</v>
      </c>
      <c r="C4" s="15">
        <f>SUMIFS(Data!$I$2:$I$201,Data!$K$2:$K$201,TEXT(A4,"mmm-yyyy"))</f>
        <v>6918</v>
      </c>
      <c r="D4" s="24">
        <f t="shared" si="0"/>
        <v>9.0783980842195744E-2</v>
      </c>
      <c r="E4" s="24">
        <f t="shared" si="1"/>
        <v>0.13014286064348557</v>
      </c>
    </row>
    <row r="5" spans="1:5" x14ac:dyDescent="0.3">
      <c r="A5" s="23">
        <v>45474</v>
      </c>
      <c r="B5" s="15">
        <f>SUMIFS(Data!$E$2:$E$201,Data!$K$2:$K$201,TEXT(A5,"mmm-yyyy"))</f>
        <v>11609.039999999999</v>
      </c>
      <c r="C5" s="15">
        <f>SUMIFS(Data!$I$2:$I$201,Data!$K$2:$K$201,TEXT(A5,"mmm-yyyy"))</f>
        <v>3743.85</v>
      </c>
      <c r="D5" s="24">
        <f t="shared" si="0"/>
        <v>-0.42493947990614001</v>
      </c>
      <c r="E5" s="24">
        <f t="shared" si="1"/>
        <v>-0.45882480485689503</v>
      </c>
    </row>
    <row r="6" spans="1:5" x14ac:dyDescent="0.3">
      <c r="A6" s="23">
        <v>45505</v>
      </c>
      <c r="B6" s="15">
        <f>SUMIFS(Data!$E$2:$E$201,Data!$K$2:$K$201,TEXT(A6,"mmm-yyyy"))</f>
        <v>10091.699999999999</v>
      </c>
      <c r="C6" s="15">
        <f>SUMIFS(Data!$I$2:$I$201,Data!$K$2:$K$201,TEXT(A6,"mmm-yyyy"))</f>
        <v>3302.84</v>
      </c>
      <c r="D6" s="24">
        <f t="shared" si="0"/>
        <v>-0.13070331396911372</v>
      </c>
      <c r="E6" s="24">
        <f t="shared" si="1"/>
        <v>-0.1177958518637231</v>
      </c>
    </row>
    <row r="7" spans="1:5" x14ac:dyDescent="0.3">
      <c r="A7" s="23">
        <v>45536</v>
      </c>
      <c r="B7" s="15">
        <f>SUMIFS(Data!$E$2:$E$201,Data!$K$2:$K$201,TEXT(A7,"mmm-yyyy"))</f>
        <v>20533.499999999996</v>
      </c>
      <c r="C7" s="15">
        <f>SUMIFS(Data!$I$2:$I$201,Data!$K$2:$K$201,TEXT(A7,"mmm-yyyy"))</f>
        <v>7457.5199999999995</v>
      </c>
      <c r="D7" s="24">
        <f t="shared" si="0"/>
        <v>1.0346918755016499</v>
      </c>
      <c r="E7" s="24">
        <f t="shared" si="1"/>
        <v>1.2579113732424214</v>
      </c>
    </row>
    <row r="8" spans="1:5" x14ac:dyDescent="0.3">
      <c r="A8" s="23">
        <v>45566</v>
      </c>
      <c r="B8" s="15">
        <f>SUMIFS(Data!$E$2:$E$201,Data!$K$2:$K$201,TEXT(A8,"mmm-yyyy"))</f>
        <v>14215.240000000002</v>
      </c>
      <c r="C8" s="15">
        <f>SUMIFS(Data!$I$2:$I$201,Data!$K$2:$K$201,TEXT(A8,"mmm-yyyy"))</f>
        <v>4861.7</v>
      </c>
      <c r="D8" s="24">
        <f t="shared" si="0"/>
        <v>-0.30770496992719198</v>
      </c>
      <c r="E8" s="24">
        <f t="shared" si="1"/>
        <v>-0.34808086334330979</v>
      </c>
    </row>
    <row r="9" spans="1:5" x14ac:dyDescent="0.3">
      <c r="A9" s="23">
        <v>45597</v>
      </c>
      <c r="B9" s="15">
        <f>SUMIFS(Data!$E$2:$E$201,Data!$K$2:$K$201,TEXT(A9,"mmm-yyyy"))</f>
        <v>20135.030000000002</v>
      </c>
      <c r="C9" s="15">
        <f>SUMIFS(Data!$I$2:$I$201,Data!$K$2:$K$201,TEXT(A9,"mmm-yyyy"))</f>
        <v>6814.8799999999992</v>
      </c>
      <c r="D9" s="24">
        <f t="shared" si="0"/>
        <v>0.41643968023051325</v>
      </c>
      <c r="E9" s="24">
        <f t="shared" si="1"/>
        <v>0.40174835962729083</v>
      </c>
    </row>
    <row r="10" spans="1:5" x14ac:dyDescent="0.3">
      <c r="A10" s="23">
        <v>45627</v>
      </c>
      <c r="B10" s="15">
        <f>SUMIFS(Data!$E$2:$E$201,Data!$K$2:$K$201,TEXT(A10,"mmm-yyyy"))</f>
        <v>11120.04</v>
      </c>
      <c r="C10" s="15">
        <f>SUMIFS(Data!$I$2:$I$201,Data!$K$2:$K$201,TEXT(A10,"mmm-yyyy"))</f>
        <v>3549.99</v>
      </c>
      <c r="D10" s="24">
        <f t="shared" si="0"/>
        <v>-0.44772667336477778</v>
      </c>
      <c r="E10" s="24">
        <f t="shared" si="1"/>
        <v>-0.4790825370366022</v>
      </c>
    </row>
    <row r="11" spans="1:5" x14ac:dyDescent="0.3">
      <c r="A11" s="23">
        <v>45658</v>
      </c>
      <c r="B11" s="15">
        <f>SUMIFS(Data!$E$2:$E$201,Data!$K$2:$K$201,TEXT(A11,"mmm-yyyy"))</f>
        <v>14914.650000000001</v>
      </c>
      <c r="C11" s="15">
        <f>SUMIFS(Data!$I$2:$I$201,Data!$K$2:$K$201,TEXT(A11,"mmm-yyyy"))</f>
        <v>5763.4</v>
      </c>
      <c r="D11" s="24">
        <f t="shared" si="0"/>
        <v>0.34124067899036348</v>
      </c>
      <c r="E11" s="24">
        <f t="shared" si="1"/>
        <v>0.62349753097896055</v>
      </c>
    </row>
    <row r="12" spans="1:5" x14ac:dyDescent="0.3">
      <c r="A12" s="23">
        <v>45689</v>
      </c>
      <c r="B12" s="15">
        <f>SUMIFS(Data!$E$2:$E$201,Data!$K$2:$K$201,TEXT(A12,"mmm-yyyy"))</f>
        <v>14006.359999999999</v>
      </c>
      <c r="C12" s="15">
        <f>SUMIFS(Data!$I$2:$I$201,Data!$K$2:$K$201,TEXT(A12,"mmm-yyyy"))</f>
        <v>5039.2299999999996</v>
      </c>
      <c r="D12" s="24">
        <f t="shared" si="0"/>
        <v>-6.0899183018039538E-2</v>
      </c>
      <c r="E12" s="24">
        <f t="shared" si="1"/>
        <v>-0.12564979005448174</v>
      </c>
    </row>
    <row r="13" spans="1:5" x14ac:dyDescent="0.3">
      <c r="A13" s="23">
        <v>45717</v>
      </c>
      <c r="B13" s="15">
        <f>SUMIFS(Data!$E$2:$E$201,Data!$K$2:$K$201,TEXT(A13,"mmm-yyyy"))</f>
        <v>17655.219999999998</v>
      </c>
      <c r="C13" s="15">
        <f>SUMIFS(Data!$I$2:$I$201,Data!$K$2:$K$201,TEXT(A13,"mmm-yyyy"))</f>
        <v>7071.39</v>
      </c>
      <c r="D13" s="24">
        <f t="shared" si="0"/>
        <v>0.26051450912299834</v>
      </c>
      <c r="E13" s="24">
        <f t="shared" si="1"/>
        <v>0.40326795958906447</v>
      </c>
    </row>
    <row r="14" spans="1:5" x14ac:dyDescent="0.3">
      <c r="A14" s="23">
        <v>45748</v>
      </c>
      <c r="B14" s="15">
        <f>SUMIFS(Data!$E$2:$E$201,Data!$K$2:$K$201,TEXT(A14,"mmm-yyyy"))</f>
        <v>3212.17</v>
      </c>
      <c r="C14" s="15">
        <f>SUMIFS(Data!$I$2:$I$201,Data!$K$2:$K$201,TEXT(A14,"mmm-yyyy"))</f>
        <v>1398.85</v>
      </c>
      <c r="D14" s="24">
        <f t="shared" si="0"/>
        <v>-0.81806117397574196</v>
      </c>
      <c r="E14" s="24">
        <f t="shared" si="1"/>
        <v>-0.80218174927418795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activeCell="C14" sqref="C14"/>
    </sheetView>
  </sheetViews>
  <sheetFormatPr defaultRowHeight="14.4" x14ac:dyDescent="0.3"/>
  <cols>
    <col min="1" max="7" width="18" customWidth="1"/>
  </cols>
  <sheetData>
    <row r="1" spans="1:7" x14ac:dyDescent="0.3">
      <c r="A1" s="16" t="s">
        <v>5</v>
      </c>
      <c r="B1" s="16" t="s">
        <v>10</v>
      </c>
      <c r="C1" s="16" t="s">
        <v>12</v>
      </c>
      <c r="D1" s="16" t="s">
        <v>14</v>
      </c>
      <c r="E1" s="16" t="s">
        <v>16</v>
      </c>
      <c r="F1" s="16" t="s">
        <v>18</v>
      </c>
      <c r="G1" s="16" t="s">
        <v>106</v>
      </c>
    </row>
    <row r="2" spans="1:7" x14ac:dyDescent="0.3">
      <c r="A2" s="7" t="s">
        <v>9</v>
      </c>
      <c r="B2" s="15">
        <f>SUMIFS(Data!$E$2:$E$201,Data!$C$2:$C$201,$A2,Data!$D$2:$D$201,B$1)</f>
        <v>11297.150000000001</v>
      </c>
      <c r="C2" s="15">
        <f>SUMIFS(Data!$E$2:$E$201,Data!$C$2:$C$201,$A2,Data!$D$2:$D$201,C$1)</f>
        <v>12200.26</v>
      </c>
      <c r="D2" s="15">
        <f>SUMIFS(Data!$E$2:$E$201,Data!$C$2:$C$201,$A2,Data!$D$2:$D$201,D$1)</f>
        <v>6621.24</v>
      </c>
      <c r="E2" s="15">
        <f>SUMIFS(Data!$E$2:$E$201,Data!$C$2:$C$201,$A2,Data!$D$2:$D$201,E$1)</f>
        <v>4876.96</v>
      </c>
      <c r="F2" s="15">
        <f>SUMIFS(Data!$E$2:$E$201,Data!$C$2:$C$201,$A2,Data!$D$2:$D$201,F$1)</f>
        <v>8472.7199999999993</v>
      </c>
      <c r="G2" s="15">
        <f>SUM(B2:F2)</f>
        <v>43468.33</v>
      </c>
    </row>
    <row r="3" spans="1:7" x14ac:dyDescent="0.3">
      <c r="A3" s="7" t="s">
        <v>11</v>
      </c>
      <c r="B3" s="15">
        <f>SUMIFS(Data!$E$2:$E$201,Data!$C$2:$C$201,$A3,Data!$D$2:$D$201,B$1)</f>
        <v>11389.090000000002</v>
      </c>
      <c r="C3" s="15">
        <f>SUMIFS(Data!$E$2:$E$201,Data!$C$2:$C$201,$A3,Data!$D$2:$D$201,C$1)</f>
        <v>2401.4499999999998</v>
      </c>
      <c r="D3" s="15">
        <f>SUMIFS(Data!$E$2:$E$201,Data!$C$2:$C$201,$A3,Data!$D$2:$D$201,D$1)</f>
        <v>2869.54</v>
      </c>
      <c r="E3" s="15">
        <f>SUMIFS(Data!$E$2:$E$201,Data!$C$2:$C$201,$A3,Data!$D$2:$D$201,E$1)</f>
        <v>7592.3399999999992</v>
      </c>
      <c r="F3" s="15">
        <f>SUMIFS(Data!$E$2:$E$201,Data!$C$2:$C$201,$A3,Data!$D$2:$D$201,F$1)</f>
        <v>8189.2200000000012</v>
      </c>
      <c r="G3" s="15">
        <f>SUM(B3:F3)</f>
        <v>32441.640000000003</v>
      </c>
    </row>
    <row r="4" spans="1:7" x14ac:dyDescent="0.3">
      <c r="A4" s="7" t="s">
        <v>13</v>
      </c>
      <c r="B4" s="15">
        <f>SUMIFS(Data!$E$2:$E$201,Data!$C$2:$C$201,$A4,Data!$D$2:$D$201,B$1)</f>
        <v>8037.0100000000011</v>
      </c>
      <c r="C4" s="15">
        <f>SUMIFS(Data!$E$2:$E$201,Data!$C$2:$C$201,$A4,Data!$D$2:$D$201,C$1)</f>
        <v>8422.82</v>
      </c>
      <c r="D4" s="15">
        <f>SUMIFS(Data!$E$2:$E$201,Data!$C$2:$C$201,$A4,Data!$D$2:$D$201,D$1)</f>
        <v>8191.7099999999991</v>
      </c>
      <c r="E4" s="15">
        <f>SUMIFS(Data!$E$2:$E$201,Data!$C$2:$C$201,$A4,Data!$D$2:$D$201,E$1)</f>
        <v>6978.08</v>
      </c>
      <c r="F4" s="15">
        <f>SUMIFS(Data!$E$2:$E$201,Data!$C$2:$C$201,$A4,Data!$D$2:$D$201,F$1)</f>
        <v>3345.8</v>
      </c>
      <c r="G4" s="15">
        <f>SUM(B4:F4)</f>
        <v>34975.420000000006</v>
      </c>
    </row>
    <row r="5" spans="1:7" x14ac:dyDescent="0.3">
      <c r="A5" s="7" t="s">
        <v>15</v>
      </c>
      <c r="B5" s="15">
        <f>SUMIFS(Data!$E$2:$E$201,Data!$C$2:$C$201,$A5,Data!$D$2:$D$201,B$1)</f>
        <v>9588.0400000000009</v>
      </c>
      <c r="C5" s="15">
        <f>SUMIFS(Data!$E$2:$E$201,Data!$C$2:$C$201,$A5,Data!$D$2:$D$201,C$1)</f>
        <v>8393.630000000001</v>
      </c>
      <c r="D5" s="15">
        <f>SUMIFS(Data!$E$2:$E$201,Data!$C$2:$C$201,$A5,Data!$D$2:$D$201,D$1)</f>
        <v>11989.070000000003</v>
      </c>
      <c r="E5" s="15">
        <f>SUMIFS(Data!$E$2:$E$201,Data!$C$2:$C$201,$A5,Data!$D$2:$D$201,E$1)</f>
        <v>7982.73</v>
      </c>
      <c r="F5" s="15">
        <f>SUMIFS(Data!$E$2:$E$201,Data!$C$2:$C$201,$A5,Data!$D$2:$D$201,F$1)</f>
        <v>2295.3199999999997</v>
      </c>
      <c r="G5" s="15">
        <f>SUM(B5:F5)</f>
        <v>40248.79</v>
      </c>
    </row>
    <row r="6" spans="1:7" x14ac:dyDescent="0.3">
      <c r="A6" s="7" t="s">
        <v>17</v>
      </c>
      <c r="B6" s="15">
        <f>SUMIFS(Data!$E$2:$E$201,Data!$C$2:$C$201,$A6,Data!$D$2:$D$201,B$1)</f>
        <v>6691.17</v>
      </c>
      <c r="C6" s="15">
        <f>SUMIFS(Data!$E$2:$E$201,Data!$C$2:$C$201,$A6,Data!$D$2:$D$201,C$1)</f>
        <v>10509.429999999998</v>
      </c>
      <c r="D6" s="15">
        <f>SUMIFS(Data!$E$2:$E$201,Data!$C$2:$C$201,$A6,Data!$D$2:$D$201,D$1)</f>
        <v>11372.44</v>
      </c>
      <c r="E6" s="15">
        <f>SUMIFS(Data!$E$2:$E$201,Data!$C$2:$C$201,$A6,Data!$D$2:$D$201,E$1)</f>
        <v>9182.7800000000007</v>
      </c>
      <c r="F6" s="15">
        <f>SUMIFS(Data!$E$2:$E$201,Data!$C$2:$C$201,$A6,Data!$D$2:$D$201,F$1)</f>
        <v>6327.76</v>
      </c>
      <c r="G6" s="15">
        <f>SUM(B6:F6)</f>
        <v>44083.58</v>
      </c>
    </row>
    <row r="7" spans="1:7" x14ac:dyDescent="0.3">
      <c r="A7" s="9" t="s">
        <v>106</v>
      </c>
      <c r="B7" s="25">
        <f t="shared" ref="B7:G7" si="0">SUM(B2:B6)</f>
        <v>47002.460000000006</v>
      </c>
      <c r="C7" s="25">
        <f t="shared" si="0"/>
        <v>41927.589999999997</v>
      </c>
      <c r="D7" s="25">
        <f t="shared" si="0"/>
        <v>41044</v>
      </c>
      <c r="E7" s="25">
        <f t="shared" si="0"/>
        <v>36612.89</v>
      </c>
      <c r="F7" s="25">
        <f t="shared" si="0"/>
        <v>28630.82</v>
      </c>
      <c r="G7" s="25">
        <f t="shared" si="0"/>
        <v>195217.76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tabSelected="1" workbookViewId="0">
      <selection activeCell="D19" sqref="D19"/>
    </sheetView>
  </sheetViews>
  <sheetFormatPr defaultRowHeight="14.4" x14ac:dyDescent="0.3"/>
  <cols>
    <col min="1" max="1" width="45" customWidth="1"/>
    <col min="2" max="2" width="33.88671875" customWidth="1"/>
  </cols>
  <sheetData>
    <row r="1" spans="1:2" x14ac:dyDescent="0.3">
      <c r="A1" s="16" t="s">
        <v>107</v>
      </c>
      <c r="B1" s="16" t="s">
        <v>108</v>
      </c>
    </row>
    <row r="2" spans="1:2" x14ac:dyDescent="0.3">
      <c r="A2" s="7" t="s">
        <v>109</v>
      </c>
      <c r="B2" s="15">
        <f>SLOPE(Data!I2:I201,Data!E2:E201)</f>
        <v>0.35085598819512248</v>
      </c>
    </row>
    <row r="3" spans="1:2" x14ac:dyDescent="0.3">
      <c r="A3" s="7" t="s">
        <v>110</v>
      </c>
      <c r="B3" s="15">
        <f>INTERCEPT(Data!I2:I201,Data!E2:E201)</f>
        <v>-1.0315504901910799</v>
      </c>
    </row>
    <row r="4" spans="1:2" x14ac:dyDescent="0.3">
      <c r="A4" s="7" t="s">
        <v>111</v>
      </c>
      <c r="B4" s="26">
        <f>RSQ(Data!I2:I201,Data!E2:E201)</f>
        <v>0.5981522996264409</v>
      </c>
    </row>
    <row r="5" spans="1:2" x14ac:dyDescent="0.3">
      <c r="A5" s="7" t="s">
        <v>112</v>
      </c>
      <c r="B5" s="26">
        <f>CORREL(Data!I2:I201,Data!E2:E201)</f>
        <v>0.77340306414342652</v>
      </c>
    </row>
    <row r="6" spans="1:2" x14ac:dyDescent="0.3">
      <c r="A6" s="7" t="s">
        <v>113</v>
      </c>
      <c r="B6" s="7"/>
    </row>
    <row r="7" spans="1:2" x14ac:dyDescent="0.3">
      <c r="A7" s="7" t="s">
        <v>114</v>
      </c>
      <c r="B7" s="27">
        <v>1000</v>
      </c>
    </row>
    <row r="8" spans="1:2" x14ac:dyDescent="0.3">
      <c r="A8" s="7" t="s">
        <v>115</v>
      </c>
      <c r="B8" s="15">
        <f>B3+B2*B7</f>
        <v>349.82443770493143</v>
      </c>
    </row>
    <row r="9" spans="1:2" x14ac:dyDescent="0.3">
      <c r="A9" s="7" t="s">
        <v>116</v>
      </c>
      <c r="B9" s="7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Data</vt:lpstr>
      <vt:lpstr>Customer Summary</vt:lpstr>
      <vt:lpstr>What-If</vt:lpstr>
      <vt:lpstr>Descriptive Stats</vt:lpstr>
      <vt:lpstr>Monthly Summary</vt:lpstr>
      <vt:lpstr>Region Product Pivot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priyavadsak9836@outlook.com</dc:creator>
  <cp:lastModifiedBy>priyavadsak9836@outlook.com</cp:lastModifiedBy>
  <dcterms:created xsi:type="dcterms:W3CDTF">2026-10-09T07:26:51Z</dcterms:created>
  <dcterms:modified xsi:type="dcterms:W3CDTF">2026-10-09T08:27:07Z</dcterms:modified>
</cp:coreProperties>
</file>