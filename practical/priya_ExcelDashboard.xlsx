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c676b0e92a77068/Desktop/Excel project/"/>
    </mc:Choice>
  </mc:AlternateContent>
  <xr:revisionPtr revIDLastSave="0" documentId="8_{208FE2E5-67EA-4363-99E4-39FF2D2B07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Tasks" sheetId="2" r:id="rId2"/>
    <sheet name="Raw Data" sheetId="3" r:id="rId3"/>
    <sheet name="Clean Data" sheetId="4" r:id="rId4"/>
    <sheet name="Analysis" sheetId="5" r:id="rId5"/>
    <sheet name="Dashboard" sheetId="6" r:id="rId6"/>
    <sheet name="Documentation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1" i="4" l="1"/>
  <c r="K121" i="4"/>
  <c r="I121" i="4"/>
  <c r="G121" i="4"/>
  <c r="F121" i="4"/>
  <c r="H121" i="4" s="1"/>
  <c r="J121" i="4" s="1"/>
  <c r="E121" i="4"/>
  <c r="D121" i="4"/>
  <c r="C121" i="4"/>
  <c r="B121" i="4"/>
  <c r="A121" i="4"/>
  <c r="L120" i="4"/>
  <c r="K120" i="4"/>
  <c r="I120" i="4"/>
  <c r="G120" i="4"/>
  <c r="F120" i="4"/>
  <c r="H120" i="4" s="1"/>
  <c r="J120" i="4" s="1"/>
  <c r="E120" i="4"/>
  <c r="D120" i="4"/>
  <c r="C120" i="4"/>
  <c r="B120" i="4"/>
  <c r="A120" i="4"/>
  <c r="L119" i="4"/>
  <c r="K119" i="4"/>
  <c r="I119" i="4"/>
  <c r="G119" i="4"/>
  <c r="F119" i="4"/>
  <c r="H119" i="4" s="1"/>
  <c r="J119" i="4" s="1"/>
  <c r="E119" i="4"/>
  <c r="D119" i="4"/>
  <c r="C119" i="4"/>
  <c r="B119" i="4"/>
  <c r="A119" i="4"/>
  <c r="L118" i="4"/>
  <c r="K118" i="4"/>
  <c r="I118" i="4"/>
  <c r="G118" i="4"/>
  <c r="F118" i="4"/>
  <c r="H118" i="4" s="1"/>
  <c r="J118" i="4" s="1"/>
  <c r="E118" i="4"/>
  <c r="D118" i="4"/>
  <c r="C118" i="4"/>
  <c r="B118" i="4"/>
  <c r="A118" i="4"/>
  <c r="L117" i="4"/>
  <c r="K117" i="4"/>
  <c r="I117" i="4"/>
  <c r="G117" i="4"/>
  <c r="F117" i="4"/>
  <c r="H117" i="4" s="1"/>
  <c r="J117" i="4" s="1"/>
  <c r="E117" i="4"/>
  <c r="D117" i="4"/>
  <c r="C117" i="4"/>
  <c r="B117" i="4"/>
  <c r="A117" i="4"/>
  <c r="L116" i="4"/>
  <c r="K116" i="4"/>
  <c r="I116" i="4"/>
  <c r="G116" i="4"/>
  <c r="F116" i="4"/>
  <c r="H116" i="4" s="1"/>
  <c r="J116" i="4" s="1"/>
  <c r="E116" i="4"/>
  <c r="D116" i="4"/>
  <c r="C116" i="4"/>
  <c r="B116" i="4"/>
  <c r="A116" i="4"/>
  <c r="L115" i="4"/>
  <c r="K115" i="4"/>
  <c r="I115" i="4"/>
  <c r="G115" i="4"/>
  <c r="F115" i="4"/>
  <c r="H115" i="4" s="1"/>
  <c r="J115" i="4" s="1"/>
  <c r="E115" i="4"/>
  <c r="D115" i="4"/>
  <c r="C115" i="4"/>
  <c r="B115" i="4"/>
  <c r="A115" i="4"/>
  <c r="L114" i="4"/>
  <c r="K114" i="4"/>
  <c r="I114" i="4"/>
  <c r="G114" i="4"/>
  <c r="F114" i="4"/>
  <c r="H114" i="4" s="1"/>
  <c r="J114" i="4" s="1"/>
  <c r="E114" i="4"/>
  <c r="D114" i="4"/>
  <c r="C114" i="4"/>
  <c r="B114" i="4"/>
  <c r="A114" i="4"/>
  <c r="L113" i="4"/>
  <c r="K113" i="4"/>
  <c r="I113" i="4"/>
  <c r="G113" i="4"/>
  <c r="F113" i="4"/>
  <c r="H113" i="4" s="1"/>
  <c r="J113" i="4" s="1"/>
  <c r="E113" i="4"/>
  <c r="D113" i="4"/>
  <c r="C113" i="4"/>
  <c r="B113" i="4"/>
  <c r="A113" i="4"/>
  <c r="L112" i="4"/>
  <c r="K112" i="4"/>
  <c r="I112" i="4"/>
  <c r="G112" i="4"/>
  <c r="F112" i="4"/>
  <c r="H112" i="4" s="1"/>
  <c r="J112" i="4" s="1"/>
  <c r="E112" i="4"/>
  <c r="D112" i="4"/>
  <c r="C112" i="4"/>
  <c r="B112" i="4"/>
  <c r="A112" i="4"/>
  <c r="L111" i="4"/>
  <c r="K111" i="4"/>
  <c r="I111" i="4"/>
  <c r="G111" i="4"/>
  <c r="F111" i="4"/>
  <c r="H111" i="4" s="1"/>
  <c r="J111" i="4" s="1"/>
  <c r="E111" i="4"/>
  <c r="D111" i="4"/>
  <c r="C111" i="4"/>
  <c r="B111" i="4"/>
  <c r="A111" i="4"/>
  <c r="L110" i="4"/>
  <c r="K110" i="4"/>
  <c r="I110" i="4"/>
  <c r="G110" i="4"/>
  <c r="F110" i="4"/>
  <c r="H110" i="4" s="1"/>
  <c r="J110" i="4" s="1"/>
  <c r="E110" i="4"/>
  <c r="D110" i="4"/>
  <c r="C110" i="4"/>
  <c r="B110" i="4"/>
  <c r="A110" i="4"/>
  <c r="L109" i="4"/>
  <c r="K109" i="4"/>
  <c r="I109" i="4"/>
  <c r="G109" i="4"/>
  <c r="F109" i="4"/>
  <c r="H109" i="4" s="1"/>
  <c r="J109" i="4" s="1"/>
  <c r="E109" i="4"/>
  <c r="D109" i="4"/>
  <c r="C109" i="4"/>
  <c r="B109" i="4"/>
  <c r="A109" i="4"/>
  <c r="L108" i="4"/>
  <c r="K108" i="4"/>
  <c r="I108" i="4"/>
  <c r="G108" i="4"/>
  <c r="F108" i="4"/>
  <c r="H108" i="4" s="1"/>
  <c r="J108" i="4" s="1"/>
  <c r="E108" i="4"/>
  <c r="D108" i="4"/>
  <c r="C108" i="4"/>
  <c r="B108" i="4"/>
  <c r="A108" i="4"/>
  <c r="L107" i="4"/>
  <c r="K107" i="4"/>
  <c r="I107" i="4"/>
  <c r="G107" i="4"/>
  <c r="F107" i="4"/>
  <c r="H107" i="4" s="1"/>
  <c r="J107" i="4" s="1"/>
  <c r="E107" i="4"/>
  <c r="D107" i="4"/>
  <c r="C107" i="4"/>
  <c r="B107" i="4"/>
  <c r="A107" i="4"/>
  <c r="L106" i="4"/>
  <c r="K106" i="4"/>
  <c r="I106" i="4"/>
  <c r="G106" i="4"/>
  <c r="F106" i="4"/>
  <c r="H106" i="4" s="1"/>
  <c r="J106" i="4" s="1"/>
  <c r="E106" i="4"/>
  <c r="D106" i="4"/>
  <c r="C106" i="4"/>
  <c r="B106" i="4"/>
  <c r="A106" i="4"/>
  <c r="L105" i="4"/>
  <c r="K105" i="4"/>
  <c r="I105" i="4"/>
  <c r="G105" i="4"/>
  <c r="F105" i="4"/>
  <c r="H105" i="4" s="1"/>
  <c r="J105" i="4" s="1"/>
  <c r="E105" i="4"/>
  <c r="D105" i="4"/>
  <c r="C105" i="4"/>
  <c r="B105" i="4"/>
  <c r="A105" i="4"/>
  <c r="L104" i="4"/>
  <c r="K104" i="4"/>
  <c r="I104" i="4"/>
  <c r="G104" i="4"/>
  <c r="F104" i="4"/>
  <c r="H104" i="4" s="1"/>
  <c r="J104" i="4" s="1"/>
  <c r="E104" i="4"/>
  <c r="D104" i="4"/>
  <c r="C104" i="4"/>
  <c r="B104" i="4"/>
  <c r="A104" i="4"/>
  <c r="L103" i="4"/>
  <c r="K103" i="4"/>
  <c r="I103" i="4"/>
  <c r="G103" i="4"/>
  <c r="F103" i="4"/>
  <c r="H103" i="4" s="1"/>
  <c r="J103" i="4" s="1"/>
  <c r="E103" i="4"/>
  <c r="D103" i="4"/>
  <c r="C103" i="4"/>
  <c r="B103" i="4"/>
  <c r="A103" i="4"/>
  <c r="L102" i="4"/>
  <c r="K102" i="4"/>
  <c r="I102" i="4"/>
  <c r="G102" i="4"/>
  <c r="F102" i="4"/>
  <c r="H102" i="4" s="1"/>
  <c r="J102" i="4" s="1"/>
  <c r="E102" i="4"/>
  <c r="D102" i="4"/>
  <c r="C102" i="4"/>
  <c r="B102" i="4"/>
  <c r="A102" i="4"/>
  <c r="L101" i="4"/>
  <c r="K101" i="4"/>
  <c r="I101" i="4"/>
  <c r="G101" i="4"/>
  <c r="F101" i="4"/>
  <c r="H101" i="4" s="1"/>
  <c r="J101" i="4" s="1"/>
  <c r="E101" i="4"/>
  <c r="D101" i="4"/>
  <c r="C101" i="4"/>
  <c r="B101" i="4"/>
  <c r="A101" i="4"/>
  <c r="L100" i="4"/>
  <c r="K100" i="4"/>
  <c r="I100" i="4"/>
  <c r="G100" i="4"/>
  <c r="F100" i="4"/>
  <c r="H100" i="4" s="1"/>
  <c r="J100" i="4" s="1"/>
  <c r="E100" i="4"/>
  <c r="D100" i="4"/>
  <c r="C100" i="4"/>
  <c r="B100" i="4"/>
  <c r="A100" i="4"/>
  <c r="L99" i="4"/>
  <c r="K99" i="4"/>
  <c r="I99" i="4"/>
  <c r="G99" i="4"/>
  <c r="F99" i="4"/>
  <c r="H99" i="4" s="1"/>
  <c r="J99" i="4" s="1"/>
  <c r="E99" i="4"/>
  <c r="D99" i="4"/>
  <c r="C99" i="4"/>
  <c r="B99" i="4"/>
  <c r="A99" i="4"/>
  <c r="L98" i="4"/>
  <c r="K98" i="4"/>
  <c r="I98" i="4"/>
  <c r="G98" i="4"/>
  <c r="F98" i="4"/>
  <c r="H98" i="4" s="1"/>
  <c r="J98" i="4" s="1"/>
  <c r="E98" i="4"/>
  <c r="D98" i="4"/>
  <c r="C98" i="4"/>
  <c r="B98" i="4"/>
  <c r="A98" i="4"/>
  <c r="L97" i="4"/>
  <c r="K97" i="4"/>
  <c r="I97" i="4"/>
  <c r="G97" i="4"/>
  <c r="F97" i="4"/>
  <c r="H97" i="4" s="1"/>
  <c r="J97" i="4" s="1"/>
  <c r="E97" i="4"/>
  <c r="D97" i="4"/>
  <c r="C97" i="4"/>
  <c r="B97" i="4"/>
  <c r="A97" i="4"/>
  <c r="L96" i="4"/>
  <c r="K96" i="4"/>
  <c r="I96" i="4"/>
  <c r="G96" i="4"/>
  <c r="F96" i="4"/>
  <c r="H96" i="4" s="1"/>
  <c r="J96" i="4" s="1"/>
  <c r="E96" i="4"/>
  <c r="D96" i="4"/>
  <c r="C96" i="4"/>
  <c r="B96" i="4"/>
  <c r="A96" i="4"/>
  <c r="L95" i="4"/>
  <c r="K95" i="4"/>
  <c r="I95" i="4"/>
  <c r="G95" i="4"/>
  <c r="F95" i="4"/>
  <c r="H95" i="4" s="1"/>
  <c r="J95" i="4" s="1"/>
  <c r="E95" i="4"/>
  <c r="D95" i="4"/>
  <c r="C95" i="4"/>
  <c r="B95" i="4"/>
  <c r="A95" i="4"/>
  <c r="L94" i="4"/>
  <c r="K94" i="4"/>
  <c r="I94" i="4"/>
  <c r="G94" i="4"/>
  <c r="F94" i="4"/>
  <c r="H94" i="4" s="1"/>
  <c r="J94" i="4" s="1"/>
  <c r="E94" i="4"/>
  <c r="D94" i="4"/>
  <c r="C94" i="4"/>
  <c r="B94" i="4"/>
  <c r="A94" i="4"/>
  <c r="L93" i="4"/>
  <c r="K93" i="4"/>
  <c r="I93" i="4"/>
  <c r="G93" i="4"/>
  <c r="F93" i="4"/>
  <c r="H93" i="4" s="1"/>
  <c r="J93" i="4" s="1"/>
  <c r="E93" i="4"/>
  <c r="D93" i="4"/>
  <c r="C93" i="4"/>
  <c r="B93" i="4"/>
  <c r="A93" i="4"/>
  <c r="L92" i="4"/>
  <c r="K92" i="4"/>
  <c r="I92" i="4"/>
  <c r="G92" i="4"/>
  <c r="F92" i="4"/>
  <c r="H92" i="4" s="1"/>
  <c r="J92" i="4" s="1"/>
  <c r="E92" i="4"/>
  <c r="D92" i="4"/>
  <c r="C92" i="4"/>
  <c r="B92" i="4"/>
  <c r="A92" i="4"/>
  <c r="L91" i="4"/>
  <c r="K91" i="4"/>
  <c r="I91" i="4"/>
  <c r="G91" i="4"/>
  <c r="F91" i="4"/>
  <c r="H91" i="4" s="1"/>
  <c r="J91" i="4" s="1"/>
  <c r="E91" i="4"/>
  <c r="D91" i="4"/>
  <c r="C91" i="4"/>
  <c r="B91" i="4"/>
  <c r="A91" i="4"/>
  <c r="L90" i="4"/>
  <c r="K90" i="4"/>
  <c r="I90" i="4"/>
  <c r="G90" i="4"/>
  <c r="F90" i="4"/>
  <c r="H90" i="4" s="1"/>
  <c r="J90" i="4" s="1"/>
  <c r="E90" i="4"/>
  <c r="D90" i="4"/>
  <c r="C90" i="4"/>
  <c r="B90" i="4"/>
  <c r="A90" i="4"/>
  <c r="L89" i="4"/>
  <c r="K89" i="4"/>
  <c r="I89" i="4"/>
  <c r="G89" i="4"/>
  <c r="F89" i="4"/>
  <c r="H89" i="4" s="1"/>
  <c r="J89" i="4" s="1"/>
  <c r="E89" i="4"/>
  <c r="D89" i="4"/>
  <c r="C89" i="4"/>
  <c r="B89" i="4"/>
  <c r="A89" i="4"/>
  <c r="L88" i="4"/>
  <c r="K88" i="4"/>
  <c r="I88" i="4"/>
  <c r="G88" i="4"/>
  <c r="F88" i="4"/>
  <c r="H88" i="4" s="1"/>
  <c r="J88" i="4" s="1"/>
  <c r="E88" i="4"/>
  <c r="D88" i="4"/>
  <c r="C88" i="4"/>
  <c r="B88" i="4"/>
  <c r="A88" i="4"/>
  <c r="L87" i="4"/>
  <c r="K87" i="4"/>
  <c r="I87" i="4"/>
  <c r="G87" i="4"/>
  <c r="F87" i="4"/>
  <c r="H87" i="4" s="1"/>
  <c r="J87" i="4" s="1"/>
  <c r="E87" i="4"/>
  <c r="D87" i="4"/>
  <c r="C87" i="4"/>
  <c r="B87" i="4"/>
  <c r="A87" i="4"/>
  <c r="L86" i="4"/>
  <c r="K86" i="4"/>
  <c r="I86" i="4"/>
  <c r="G86" i="4"/>
  <c r="F86" i="4"/>
  <c r="H86" i="4" s="1"/>
  <c r="J86" i="4" s="1"/>
  <c r="E86" i="4"/>
  <c r="D86" i="4"/>
  <c r="C86" i="4"/>
  <c r="B86" i="4"/>
  <c r="A86" i="4"/>
  <c r="L85" i="4"/>
  <c r="K85" i="4"/>
  <c r="I85" i="4"/>
  <c r="G85" i="4"/>
  <c r="F85" i="4"/>
  <c r="H85" i="4" s="1"/>
  <c r="J85" i="4" s="1"/>
  <c r="E85" i="4"/>
  <c r="D85" i="4"/>
  <c r="C85" i="4"/>
  <c r="B85" i="4"/>
  <c r="A85" i="4"/>
  <c r="L84" i="4"/>
  <c r="K84" i="4"/>
  <c r="I84" i="4"/>
  <c r="G84" i="4"/>
  <c r="F84" i="4"/>
  <c r="H84" i="4" s="1"/>
  <c r="J84" i="4" s="1"/>
  <c r="E84" i="4"/>
  <c r="D84" i="4"/>
  <c r="C84" i="4"/>
  <c r="B84" i="4"/>
  <c r="A84" i="4"/>
  <c r="L83" i="4"/>
  <c r="K83" i="4"/>
  <c r="I83" i="4"/>
  <c r="G83" i="4"/>
  <c r="F83" i="4"/>
  <c r="H83" i="4" s="1"/>
  <c r="J83" i="4" s="1"/>
  <c r="E83" i="4"/>
  <c r="D83" i="4"/>
  <c r="C83" i="4"/>
  <c r="B83" i="4"/>
  <c r="A83" i="4"/>
  <c r="L82" i="4"/>
  <c r="K82" i="4"/>
  <c r="I82" i="4"/>
  <c r="G82" i="4"/>
  <c r="F82" i="4"/>
  <c r="H82" i="4" s="1"/>
  <c r="J82" i="4" s="1"/>
  <c r="E82" i="4"/>
  <c r="D82" i="4"/>
  <c r="C82" i="4"/>
  <c r="B82" i="4"/>
  <c r="A82" i="4"/>
  <c r="L81" i="4"/>
  <c r="K81" i="4"/>
  <c r="I81" i="4"/>
  <c r="G81" i="4"/>
  <c r="F81" i="4"/>
  <c r="H81" i="4" s="1"/>
  <c r="J81" i="4" s="1"/>
  <c r="E81" i="4"/>
  <c r="D81" i="4"/>
  <c r="C81" i="4"/>
  <c r="B81" i="4"/>
  <c r="A81" i="4"/>
  <c r="L80" i="4"/>
  <c r="K80" i="4"/>
  <c r="I80" i="4"/>
  <c r="G80" i="4"/>
  <c r="F80" i="4"/>
  <c r="H80" i="4" s="1"/>
  <c r="J80" i="4" s="1"/>
  <c r="E80" i="4"/>
  <c r="D80" i="4"/>
  <c r="C80" i="4"/>
  <c r="B80" i="4"/>
  <c r="A80" i="4"/>
  <c r="L79" i="4"/>
  <c r="K79" i="4"/>
  <c r="I79" i="4"/>
  <c r="G79" i="4"/>
  <c r="F79" i="4"/>
  <c r="E79" i="4"/>
  <c r="D79" i="4"/>
  <c r="C79" i="4"/>
  <c r="B79" i="4"/>
  <c r="A79" i="4"/>
  <c r="L78" i="4"/>
  <c r="K78" i="4"/>
  <c r="I78" i="4"/>
  <c r="G78" i="4"/>
  <c r="F78" i="4"/>
  <c r="H78" i="4" s="1"/>
  <c r="J78" i="4" s="1"/>
  <c r="E78" i="4"/>
  <c r="D78" i="4"/>
  <c r="C78" i="4"/>
  <c r="B78" i="4"/>
  <c r="A78" i="4"/>
  <c r="L77" i="4"/>
  <c r="K77" i="4"/>
  <c r="I77" i="4"/>
  <c r="G77" i="4"/>
  <c r="F77" i="4"/>
  <c r="H77" i="4" s="1"/>
  <c r="J77" i="4" s="1"/>
  <c r="E77" i="4"/>
  <c r="D77" i="4"/>
  <c r="C77" i="4"/>
  <c r="B77" i="4"/>
  <c r="A77" i="4"/>
  <c r="L76" i="4"/>
  <c r="K76" i="4"/>
  <c r="I76" i="4"/>
  <c r="G76" i="4"/>
  <c r="F76" i="4"/>
  <c r="H76" i="4" s="1"/>
  <c r="J76" i="4" s="1"/>
  <c r="E76" i="4"/>
  <c r="D76" i="4"/>
  <c r="C76" i="4"/>
  <c r="B76" i="4"/>
  <c r="A76" i="4"/>
  <c r="L75" i="4"/>
  <c r="K75" i="4"/>
  <c r="I75" i="4"/>
  <c r="G75" i="4"/>
  <c r="F75" i="4"/>
  <c r="H75" i="4" s="1"/>
  <c r="J75" i="4" s="1"/>
  <c r="E75" i="4"/>
  <c r="D75" i="4"/>
  <c r="C75" i="4"/>
  <c r="B75" i="4"/>
  <c r="A75" i="4"/>
  <c r="L74" i="4"/>
  <c r="K74" i="4"/>
  <c r="I74" i="4"/>
  <c r="G74" i="4"/>
  <c r="F74" i="4"/>
  <c r="H74" i="4" s="1"/>
  <c r="J74" i="4" s="1"/>
  <c r="E74" i="4"/>
  <c r="D74" i="4"/>
  <c r="C74" i="4"/>
  <c r="B74" i="4"/>
  <c r="A74" i="4"/>
  <c r="L73" i="4"/>
  <c r="K73" i="4"/>
  <c r="I73" i="4"/>
  <c r="G73" i="4"/>
  <c r="F73" i="4"/>
  <c r="H73" i="4" s="1"/>
  <c r="J73" i="4" s="1"/>
  <c r="E73" i="4"/>
  <c r="D73" i="4"/>
  <c r="C73" i="4"/>
  <c r="B73" i="4"/>
  <c r="A73" i="4"/>
  <c r="L72" i="4"/>
  <c r="K72" i="4"/>
  <c r="I72" i="4"/>
  <c r="G72" i="4"/>
  <c r="F72" i="4"/>
  <c r="H72" i="4" s="1"/>
  <c r="J72" i="4" s="1"/>
  <c r="E72" i="4"/>
  <c r="D72" i="4"/>
  <c r="C72" i="4"/>
  <c r="B72" i="4"/>
  <c r="A72" i="4"/>
  <c r="L71" i="4"/>
  <c r="K71" i="4"/>
  <c r="I71" i="4"/>
  <c r="G71" i="4"/>
  <c r="F71" i="4"/>
  <c r="H71" i="4" s="1"/>
  <c r="J71" i="4" s="1"/>
  <c r="E71" i="4"/>
  <c r="D71" i="4"/>
  <c r="C71" i="4"/>
  <c r="B71" i="4"/>
  <c r="A71" i="4"/>
  <c r="L70" i="4"/>
  <c r="K70" i="4"/>
  <c r="I70" i="4"/>
  <c r="G70" i="4"/>
  <c r="F70" i="4"/>
  <c r="H70" i="4" s="1"/>
  <c r="J70" i="4" s="1"/>
  <c r="E70" i="4"/>
  <c r="D70" i="4"/>
  <c r="C70" i="4"/>
  <c r="B70" i="4"/>
  <c r="A70" i="4"/>
  <c r="L69" i="4"/>
  <c r="K69" i="4"/>
  <c r="I69" i="4"/>
  <c r="G69" i="4"/>
  <c r="F69" i="4"/>
  <c r="H69" i="4" s="1"/>
  <c r="J69" i="4" s="1"/>
  <c r="E69" i="4"/>
  <c r="D69" i="4"/>
  <c r="C69" i="4"/>
  <c r="B69" i="4"/>
  <c r="A69" i="4"/>
  <c r="L68" i="4"/>
  <c r="K68" i="4"/>
  <c r="I68" i="4"/>
  <c r="G68" i="4"/>
  <c r="F68" i="4"/>
  <c r="H68" i="4" s="1"/>
  <c r="J68" i="4" s="1"/>
  <c r="E68" i="4"/>
  <c r="D68" i="4"/>
  <c r="C68" i="4"/>
  <c r="B68" i="4"/>
  <c r="A68" i="4"/>
  <c r="L67" i="4"/>
  <c r="K67" i="4"/>
  <c r="I67" i="4"/>
  <c r="G67" i="4"/>
  <c r="F67" i="4"/>
  <c r="H67" i="4" s="1"/>
  <c r="J67" i="4" s="1"/>
  <c r="E67" i="4"/>
  <c r="D67" i="4"/>
  <c r="C67" i="4"/>
  <c r="B67" i="4"/>
  <c r="A67" i="4"/>
  <c r="L66" i="4"/>
  <c r="K66" i="4"/>
  <c r="I66" i="4"/>
  <c r="G66" i="4"/>
  <c r="F66" i="4"/>
  <c r="H66" i="4" s="1"/>
  <c r="J66" i="4" s="1"/>
  <c r="E66" i="4"/>
  <c r="D66" i="4"/>
  <c r="C66" i="4"/>
  <c r="B66" i="4"/>
  <c r="A66" i="4"/>
  <c r="L65" i="4"/>
  <c r="K65" i="4"/>
  <c r="I65" i="4"/>
  <c r="G65" i="4"/>
  <c r="F65" i="4"/>
  <c r="H65" i="4" s="1"/>
  <c r="J65" i="4" s="1"/>
  <c r="E65" i="4"/>
  <c r="D65" i="4"/>
  <c r="C65" i="4"/>
  <c r="B65" i="4"/>
  <c r="A65" i="4"/>
  <c r="L64" i="4"/>
  <c r="K64" i="4"/>
  <c r="I64" i="4"/>
  <c r="G64" i="4"/>
  <c r="F64" i="4"/>
  <c r="H64" i="4" s="1"/>
  <c r="J64" i="4" s="1"/>
  <c r="E64" i="4"/>
  <c r="D64" i="4"/>
  <c r="C64" i="4"/>
  <c r="B64" i="4"/>
  <c r="A64" i="4"/>
  <c r="L63" i="4"/>
  <c r="K63" i="4"/>
  <c r="I63" i="4"/>
  <c r="G63" i="4"/>
  <c r="F63" i="4"/>
  <c r="H63" i="4" s="1"/>
  <c r="J63" i="4" s="1"/>
  <c r="E63" i="4"/>
  <c r="D63" i="4"/>
  <c r="C63" i="4"/>
  <c r="B63" i="4"/>
  <c r="A63" i="4"/>
  <c r="L62" i="4"/>
  <c r="K62" i="4"/>
  <c r="I62" i="4"/>
  <c r="G62" i="4"/>
  <c r="F62" i="4"/>
  <c r="H62" i="4" s="1"/>
  <c r="J62" i="4" s="1"/>
  <c r="E62" i="4"/>
  <c r="D62" i="4"/>
  <c r="C62" i="4"/>
  <c r="B62" i="4"/>
  <c r="A62" i="4"/>
  <c r="L61" i="4"/>
  <c r="K61" i="4"/>
  <c r="I61" i="4"/>
  <c r="G61" i="4"/>
  <c r="F61" i="4"/>
  <c r="H61" i="4" s="1"/>
  <c r="J61" i="4" s="1"/>
  <c r="E61" i="4"/>
  <c r="D61" i="4"/>
  <c r="C61" i="4"/>
  <c r="B61" i="4"/>
  <c r="A61" i="4"/>
  <c r="L60" i="4"/>
  <c r="K60" i="4"/>
  <c r="I60" i="4"/>
  <c r="G60" i="4"/>
  <c r="F60" i="4"/>
  <c r="H60" i="4" s="1"/>
  <c r="J60" i="4" s="1"/>
  <c r="E60" i="4"/>
  <c r="D60" i="4"/>
  <c r="C60" i="4"/>
  <c r="B60" i="4"/>
  <c r="A60" i="4"/>
  <c r="L59" i="4"/>
  <c r="K59" i="4"/>
  <c r="I59" i="4"/>
  <c r="G59" i="4"/>
  <c r="F59" i="4"/>
  <c r="H59" i="4" s="1"/>
  <c r="J59" i="4" s="1"/>
  <c r="E59" i="4"/>
  <c r="D59" i="4"/>
  <c r="C59" i="4"/>
  <c r="B59" i="4"/>
  <c r="A59" i="4"/>
  <c r="L58" i="4"/>
  <c r="K58" i="4"/>
  <c r="I58" i="4"/>
  <c r="G58" i="4"/>
  <c r="F58" i="4"/>
  <c r="H58" i="4" s="1"/>
  <c r="E58" i="4"/>
  <c r="D58" i="4"/>
  <c r="C58" i="4"/>
  <c r="B58" i="4"/>
  <c r="A58" i="4"/>
  <c r="L57" i="4"/>
  <c r="K57" i="4"/>
  <c r="I57" i="4"/>
  <c r="G57" i="4"/>
  <c r="F57" i="4"/>
  <c r="H57" i="4" s="1"/>
  <c r="J57" i="4" s="1"/>
  <c r="E57" i="4"/>
  <c r="D57" i="4"/>
  <c r="C57" i="4"/>
  <c r="B57" i="4"/>
  <c r="A57" i="4"/>
  <c r="L56" i="4"/>
  <c r="K56" i="4"/>
  <c r="I56" i="4"/>
  <c r="G56" i="4"/>
  <c r="F56" i="4"/>
  <c r="H56" i="4" s="1"/>
  <c r="J56" i="4" s="1"/>
  <c r="E56" i="4"/>
  <c r="D56" i="4"/>
  <c r="C56" i="4"/>
  <c r="B56" i="4"/>
  <c r="A56" i="4"/>
  <c r="L55" i="4"/>
  <c r="K55" i="4"/>
  <c r="I55" i="4"/>
  <c r="G55" i="4"/>
  <c r="F55" i="4"/>
  <c r="H55" i="4" s="1"/>
  <c r="J55" i="4" s="1"/>
  <c r="E55" i="4"/>
  <c r="D55" i="4"/>
  <c r="C55" i="4"/>
  <c r="B55" i="4"/>
  <c r="A55" i="4"/>
  <c r="L54" i="4"/>
  <c r="K54" i="4"/>
  <c r="I54" i="4"/>
  <c r="G54" i="4"/>
  <c r="F54" i="4"/>
  <c r="H54" i="4" s="1"/>
  <c r="J54" i="4" s="1"/>
  <c r="E54" i="4"/>
  <c r="D54" i="4"/>
  <c r="C54" i="4"/>
  <c r="B54" i="4"/>
  <c r="A54" i="4"/>
  <c r="L53" i="4"/>
  <c r="K53" i="4"/>
  <c r="I53" i="4"/>
  <c r="G53" i="4"/>
  <c r="F53" i="4"/>
  <c r="H53" i="4" s="1"/>
  <c r="J53" i="4" s="1"/>
  <c r="E53" i="4"/>
  <c r="D53" i="4"/>
  <c r="C53" i="4"/>
  <c r="B53" i="4"/>
  <c r="A53" i="4"/>
  <c r="L52" i="4"/>
  <c r="K52" i="4"/>
  <c r="I52" i="4"/>
  <c r="G52" i="4"/>
  <c r="F52" i="4"/>
  <c r="H52" i="4" s="1"/>
  <c r="J52" i="4" s="1"/>
  <c r="E52" i="4"/>
  <c r="D52" i="4"/>
  <c r="C52" i="4"/>
  <c r="B52" i="4"/>
  <c r="A52" i="4"/>
  <c r="L51" i="4"/>
  <c r="K51" i="4"/>
  <c r="I51" i="4"/>
  <c r="G51" i="4"/>
  <c r="F51" i="4"/>
  <c r="H51" i="4" s="1"/>
  <c r="J51" i="4" s="1"/>
  <c r="E51" i="4"/>
  <c r="D51" i="4"/>
  <c r="C51" i="4"/>
  <c r="B51" i="4"/>
  <c r="A51" i="4"/>
  <c r="L50" i="4"/>
  <c r="K50" i="4"/>
  <c r="I50" i="4"/>
  <c r="G50" i="4"/>
  <c r="F50" i="4"/>
  <c r="H50" i="4" s="1"/>
  <c r="J50" i="4" s="1"/>
  <c r="E50" i="4"/>
  <c r="D50" i="4"/>
  <c r="C50" i="4"/>
  <c r="B50" i="4"/>
  <c r="A50" i="4"/>
  <c r="L49" i="4"/>
  <c r="K49" i="4"/>
  <c r="I49" i="4"/>
  <c r="G49" i="4"/>
  <c r="F49" i="4"/>
  <c r="H49" i="4" s="1"/>
  <c r="J49" i="4" s="1"/>
  <c r="E49" i="4"/>
  <c r="D49" i="4"/>
  <c r="C49" i="4"/>
  <c r="B49" i="4"/>
  <c r="A49" i="4"/>
  <c r="L48" i="4"/>
  <c r="K48" i="4"/>
  <c r="I48" i="4"/>
  <c r="G48" i="4"/>
  <c r="F48" i="4"/>
  <c r="H48" i="4" s="1"/>
  <c r="J48" i="4" s="1"/>
  <c r="E48" i="4"/>
  <c r="D48" i="4"/>
  <c r="C48" i="4"/>
  <c r="B48" i="4"/>
  <c r="A48" i="4"/>
  <c r="L47" i="4"/>
  <c r="K47" i="4"/>
  <c r="I47" i="4"/>
  <c r="G47" i="4"/>
  <c r="F47" i="4"/>
  <c r="H47" i="4" s="1"/>
  <c r="J47" i="4" s="1"/>
  <c r="E47" i="4"/>
  <c r="D47" i="4"/>
  <c r="C47" i="4"/>
  <c r="B47" i="4"/>
  <c r="A47" i="4"/>
  <c r="L46" i="4"/>
  <c r="K46" i="4"/>
  <c r="I46" i="4"/>
  <c r="G46" i="4"/>
  <c r="F46" i="4"/>
  <c r="H46" i="4" s="1"/>
  <c r="J46" i="4" s="1"/>
  <c r="E46" i="4"/>
  <c r="D46" i="4"/>
  <c r="C46" i="4"/>
  <c r="B46" i="4"/>
  <c r="A46" i="4"/>
  <c r="L45" i="4"/>
  <c r="K45" i="4"/>
  <c r="I45" i="4"/>
  <c r="G45" i="4"/>
  <c r="F45" i="4"/>
  <c r="H45" i="4" s="1"/>
  <c r="J45" i="4" s="1"/>
  <c r="E45" i="4"/>
  <c r="D45" i="4"/>
  <c r="C45" i="4"/>
  <c r="B45" i="4"/>
  <c r="A45" i="4"/>
  <c r="L44" i="4"/>
  <c r="K44" i="4"/>
  <c r="I44" i="4"/>
  <c r="G44" i="4"/>
  <c r="F44" i="4"/>
  <c r="H44" i="4" s="1"/>
  <c r="J44" i="4" s="1"/>
  <c r="E44" i="4"/>
  <c r="D44" i="4"/>
  <c r="C44" i="4"/>
  <c r="B44" i="4"/>
  <c r="A44" i="4"/>
  <c r="L43" i="4"/>
  <c r="K43" i="4"/>
  <c r="I43" i="4"/>
  <c r="G43" i="4"/>
  <c r="F43" i="4"/>
  <c r="H43" i="4" s="1"/>
  <c r="J43" i="4" s="1"/>
  <c r="E43" i="4"/>
  <c r="D43" i="4"/>
  <c r="C43" i="4"/>
  <c r="B43" i="4"/>
  <c r="A43" i="4"/>
  <c r="L42" i="4"/>
  <c r="K42" i="4"/>
  <c r="I42" i="4"/>
  <c r="G42" i="4"/>
  <c r="F42" i="4"/>
  <c r="H42" i="4" s="1"/>
  <c r="J42" i="4" s="1"/>
  <c r="E42" i="4"/>
  <c r="D42" i="4"/>
  <c r="C42" i="4"/>
  <c r="B42" i="4"/>
  <c r="A42" i="4"/>
  <c r="L41" i="4"/>
  <c r="K41" i="4"/>
  <c r="I41" i="4"/>
  <c r="G41" i="4"/>
  <c r="F41" i="4"/>
  <c r="H41" i="4" s="1"/>
  <c r="J41" i="4" s="1"/>
  <c r="E41" i="4"/>
  <c r="D41" i="4"/>
  <c r="C41" i="4"/>
  <c r="B41" i="4"/>
  <c r="A41" i="4"/>
  <c r="L40" i="4"/>
  <c r="K40" i="4"/>
  <c r="I40" i="4"/>
  <c r="G40" i="4"/>
  <c r="F40" i="4"/>
  <c r="H40" i="4" s="1"/>
  <c r="J40" i="4" s="1"/>
  <c r="E40" i="4"/>
  <c r="D40" i="4"/>
  <c r="C40" i="4"/>
  <c r="B40" i="4"/>
  <c r="A40" i="4"/>
  <c r="L39" i="4"/>
  <c r="K39" i="4"/>
  <c r="I39" i="4"/>
  <c r="G39" i="4"/>
  <c r="F39" i="4"/>
  <c r="H39" i="4" s="1"/>
  <c r="J39" i="4" s="1"/>
  <c r="E39" i="4"/>
  <c r="D39" i="4"/>
  <c r="C39" i="4"/>
  <c r="B39" i="4"/>
  <c r="A39" i="4"/>
  <c r="L38" i="4"/>
  <c r="K38" i="4"/>
  <c r="I38" i="4"/>
  <c r="G38" i="4"/>
  <c r="F38" i="4"/>
  <c r="H38" i="4" s="1"/>
  <c r="J38" i="4" s="1"/>
  <c r="E38" i="4"/>
  <c r="D38" i="4"/>
  <c r="C38" i="4"/>
  <c r="B38" i="4"/>
  <c r="A38" i="4"/>
  <c r="L37" i="4"/>
  <c r="K37" i="4"/>
  <c r="I37" i="4"/>
  <c r="G37" i="4"/>
  <c r="F37" i="4"/>
  <c r="H37" i="4" s="1"/>
  <c r="J37" i="4" s="1"/>
  <c r="E37" i="4"/>
  <c r="D37" i="4"/>
  <c r="C37" i="4"/>
  <c r="B37" i="4"/>
  <c r="A37" i="4"/>
  <c r="L36" i="4"/>
  <c r="K36" i="4"/>
  <c r="I36" i="4"/>
  <c r="G36" i="4"/>
  <c r="F36" i="4"/>
  <c r="H36" i="4" s="1"/>
  <c r="J36" i="4" s="1"/>
  <c r="E36" i="4"/>
  <c r="D36" i="4"/>
  <c r="C36" i="4"/>
  <c r="B36" i="4"/>
  <c r="A36" i="4"/>
  <c r="L35" i="4"/>
  <c r="K35" i="4"/>
  <c r="I35" i="4"/>
  <c r="G35" i="4"/>
  <c r="F35" i="4"/>
  <c r="H35" i="4" s="1"/>
  <c r="J35" i="4" s="1"/>
  <c r="E35" i="4"/>
  <c r="D35" i="4"/>
  <c r="C35" i="4"/>
  <c r="B35" i="4"/>
  <c r="A35" i="4"/>
  <c r="L34" i="4"/>
  <c r="K34" i="4"/>
  <c r="I34" i="4"/>
  <c r="G34" i="4"/>
  <c r="F34" i="4"/>
  <c r="H34" i="4" s="1"/>
  <c r="J34" i="4" s="1"/>
  <c r="E34" i="4"/>
  <c r="D34" i="4"/>
  <c r="C34" i="4"/>
  <c r="B34" i="4"/>
  <c r="A34" i="4"/>
  <c r="L33" i="4"/>
  <c r="K33" i="4"/>
  <c r="I33" i="4"/>
  <c r="G33" i="4"/>
  <c r="F33" i="4"/>
  <c r="H33" i="4" s="1"/>
  <c r="J33" i="4" s="1"/>
  <c r="E33" i="4"/>
  <c r="D33" i="4"/>
  <c r="C33" i="4"/>
  <c r="B33" i="4"/>
  <c r="A33" i="4"/>
  <c r="L32" i="4"/>
  <c r="K32" i="4"/>
  <c r="I32" i="4"/>
  <c r="G32" i="4"/>
  <c r="F32" i="4"/>
  <c r="H32" i="4" s="1"/>
  <c r="J32" i="4" s="1"/>
  <c r="E32" i="4"/>
  <c r="D32" i="4"/>
  <c r="C32" i="4"/>
  <c r="B32" i="4"/>
  <c r="A32" i="4"/>
  <c r="L31" i="4"/>
  <c r="K31" i="4"/>
  <c r="I31" i="4"/>
  <c r="G31" i="4"/>
  <c r="F31" i="4"/>
  <c r="H31" i="4" s="1"/>
  <c r="J31" i="4" s="1"/>
  <c r="E31" i="4"/>
  <c r="D31" i="4"/>
  <c r="C31" i="4"/>
  <c r="B31" i="4"/>
  <c r="A31" i="4"/>
  <c r="L30" i="4"/>
  <c r="K30" i="4"/>
  <c r="I30" i="4"/>
  <c r="G30" i="4"/>
  <c r="F30" i="4"/>
  <c r="H30" i="4" s="1"/>
  <c r="J30" i="4" s="1"/>
  <c r="E30" i="4"/>
  <c r="D30" i="4"/>
  <c r="C30" i="4"/>
  <c r="B30" i="4"/>
  <c r="A30" i="4"/>
  <c r="L29" i="4"/>
  <c r="K29" i="4"/>
  <c r="I29" i="4"/>
  <c r="G29" i="4"/>
  <c r="F29" i="4"/>
  <c r="H29" i="4" s="1"/>
  <c r="J29" i="4" s="1"/>
  <c r="E29" i="4"/>
  <c r="D29" i="4"/>
  <c r="C29" i="4"/>
  <c r="B29" i="4"/>
  <c r="A29" i="4"/>
  <c r="L28" i="4"/>
  <c r="K28" i="4"/>
  <c r="I28" i="4"/>
  <c r="G28" i="4"/>
  <c r="F28" i="4"/>
  <c r="H28" i="4" s="1"/>
  <c r="J28" i="4" s="1"/>
  <c r="E28" i="4"/>
  <c r="D28" i="4"/>
  <c r="C28" i="4"/>
  <c r="B28" i="4"/>
  <c r="A28" i="4"/>
  <c r="L27" i="4"/>
  <c r="K27" i="4"/>
  <c r="I27" i="4"/>
  <c r="G27" i="4"/>
  <c r="F27" i="4"/>
  <c r="H27" i="4" s="1"/>
  <c r="J27" i="4" s="1"/>
  <c r="E27" i="4"/>
  <c r="D27" i="4"/>
  <c r="C27" i="4"/>
  <c r="B27" i="4"/>
  <c r="A27" i="4"/>
  <c r="L26" i="4"/>
  <c r="K26" i="4"/>
  <c r="I26" i="4"/>
  <c r="G26" i="4"/>
  <c r="F26" i="4"/>
  <c r="H26" i="4" s="1"/>
  <c r="E26" i="4"/>
  <c r="D26" i="4"/>
  <c r="C26" i="4"/>
  <c r="B26" i="4"/>
  <c r="A26" i="4"/>
  <c r="L25" i="4"/>
  <c r="K25" i="4"/>
  <c r="I25" i="4"/>
  <c r="G25" i="4"/>
  <c r="F25" i="4"/>
  <c r="H25" i="4" s="1"/>
  <c r="J25" i="4" s="1"/>
  <c r="E25" i="4"/>
  <c r="D25" i="4"/>
  <c r="C25" i="4"/>
  <c r="B25" i="4"/>
  <c r="A25" i="4"/>
  <c r="L24" i="4"/>
  <c r="K24" i="4"/>
  <c r="I24" i="4"/>
  <c r="G24" i="4"/>
  <c r="F24" i="4"/>
  <c r="H24" i="4" s="1"/>
  <c r="J24" i="4" s="1"/>
  <c r="E24" i="4"/>
  <c r="D24" i="4"/>
  <c r="C24" i="4"/>
  <c r="B24" i="4"/>
  <c r="A24" i="4"/>
  <c r="L23" i="4"/>
  <c r="K23" i="4"/>
  <c r="I23" i="4"/>
  <c r="G23" i="4"/>
  <c r="F23" i="4"/>
  <c r="H23" i="4" s="1"/>
  <c r="E23" i="4"/>
  <c r="D23" i="4"/>
  <c r="C23" i="4"/>
  <c r="B23" i="4"/>
  <c r="A23" i="4"/>
  <c r="L22" i="4"/>
  <c r="K22" i="4"/>
  <c r="I22" i="4"/>
  <c r="G22" i="4"/>
  <c r="F22" i="4"/>
  <c r="H22" i="4" s="1"/>
  <c r="J22" i="4" s="1"/>
  <c r="E22" i="4"/>
  <c r="D22" i="4"/>
  <c r="C22" i="4"/>
  <c r="B22" i="4"/>
  <c r="A22" i="4"/>
  <c r="L21" i="4"/>
  <c r="K21" i="4"/>
  <c r="I21" i="4"/>
  <c r="G21" i="4"/>
  <c r="F21" i="4"/>
  <c r="H21" i="4" s="1"/>
  <c r="J21" i="4" s="1"/>
  <c r="E21" i="4"/>
  <c r="D21" i="4"/>
  <c r="C21" i="4"/>
  <c r="B21" i="4"/>
  <c r="A21" i="4"/>
  <c r="L20" i="4"/>
  <c r="K20" i="4"/>
  <c r="I20" i="4"/>
  <c r="G20" i="4"/>
  <c r="F20" i="4"/>
  <c r="H20" i="4" s="1"/>
  <c r="J20" i="4" s="1"/>
  <c r="E20" i="4"/>
  <c r="D20" i="4"/>
  <c r="C20" i="4"/>
  <c r="B20" i="4"/>
  <c r="A20" i="4"/>
  <c r="L19" i="4"/>
  <c r="K19" i="4"/>
  <c r="I19" i="4"/>
  <c r="G19" i="4"/>
  <c r="F19" i="4"/>
  <c r="H19" i="4" s="1"/>
  <c r="E19" i="4"/>
  <c r="D19" i="4"/>
  <c r="C19" i="4"/>
  <c r="B19" i="4"/>
  <c r="A19" i="4"/>
  <c r="L18" i="4"/>
  <c r="K18" i="4"/>
  <c r="I18" i="4"/>
  <c r="G18" i="4"/>
  <c r="F18" i="4"/>
  <c r="H18" i="4" s="1"/>
  <c r="J18" i="4" s="1"/>
  <c r="E18" i="4"/>
  <c r="D18" i="4"/>
  <c r="C18" i="4"/>
  <c r="B18" i="4"/>
  <c r="A18" i="4"/>
  <c r="L17" i="4"/>
  <c r="K17" i="4"/>
  <c r="I17" i="4"/>
  <c r="G17" i="4"/>
  <c r="F17" i="4"/>
  <c r="H17" i="4" s="1"/>
  <c r="E17" i="4"/>
  <c r="D17" i="4"/>
  <c r="C17" i="4"/>
  <c r="B17" i="4"/>
  <c r="A17" i="4"/>
  <c r="L16" i="4"/>
  <c r="K16" i="4"/>
  <c r="I16" i="4"/>
  <c r="G16" i="4"/>
  <c r="F16" i="4"/>
  <c r="H16" i="4" s="1"/>
  <c r="J16" i="4" s="1"/>
  <c r="E16" i="4"/>
  <c r="D16" i="4"/>
  <c r="C16" i="4"/>
  <c r="B16" i="4"/>
  <c r="A16" i="4"/>
  <c r="L15" i="4"/>
  <c r="K15" i="4"/>
  <c r="I15" i="4"/>
  <c r="G15" i="4"/>
  <c r="F15" i="4"/>
  <c r="H15" i="4" s="1"/>
  <c r="E15" i="4"/>
  <c r="D15" i="4"/>
  <c r="C15" i="4"/>
  <c r="B15" i="4"/>
  <c r="A15" i="4"/>
  <c r="L14" i="4"/>
  <c r="K14" i="4"/>
  <c r="I14" i="4"/>
  <c r="G14" i="4"/>
  <c r="F14" i="4"/>
  <c r="H14" i="4" s="1"/>
  <c r="E14" i="4"/>
  <c r="D14" i="4"/>
  <c r="C14" i="4"/>
  <c r="B14" i="4"/>
  <c r="A14" i="4"/>
  <c r="L13" i="4"/>
  <c r="K13" i="4"/>
  <c r="I13" i="4"/>
  <c r="G13" i="4"/>
  <c r="F13" i="4"/>
  <c r="H13" i="4" s="1"/>
  <c r="E13" i="4"/>
  <c r="D13" i="4"/>
  <c r="C13" i="4"/>
  <c r="B13" i="4"/>
  <c r="A13" i="4"/>
  <c r="L12" i="4"/>
  <c r="K12" i="4"/>
  <c r="I12" i="4"/>
  <c r="G12" i="4"/>
  <c r="F12" i="4"/>
  <c r="H12" i="4" s="1"/>
  <c r="J12" i="4" s="1"/>
  <c r="E12" i="4"/>
  <c r="D12" i="4"/>
  <c r="C12" i="4"/>
  <c r="B12" i="4"/>
  <c r="A12" i="4"/>
  <c r="L11" i="4"/>
  <c r="K11" i="4"/>
  <c r="I11" i="4"/>
  <c r="G11" i="4"/>
  <c r="F11" i="4"/>
  <c r="H11" i="4" s="1"/>
  <c r="J11" i="4" s="1"/>
  <c r="E11" i="4"/>
  <c r="D11" i="4"/>
  <c r="C11" i="4"/>
  <c r="B11" i="4"/>
  <c r="A11" i="4"/>
  <c r="L10" i="4"/>
  <c r="K10" i="4"/>
  <c r="I10" i="4"/>
  <c r="G10" i="4"/>
  <c r="F10" i="4"/>
  <c r="H10" i="4" s="1"/>
  <c r="E10" i="4"/>
  <c r="D10" i="4"/>
  <c r="C10" i="4"/>
  <c r="B10" i="4"/>
  <c r="A10" i="4"/>
  <c r="L9" i="4"/>
  <c r="K9" i="4"/>
  <c r="I9" i="4"/>
  <c r="G9" i="4"/>
  <c r="F9" i="4"/>
  <c r="H9" i="4" s="1"/>
  <c r="J9" i="4" s="1"/>
  <c r="E9" i="4"/>
  <c r="D9" i="4"/>
  <c r="C9" i="4"/>
  <c r="B9" i="4"/>
  <c r="A9" i="4"/>
  <c r="L8" i="4"/>
  <c r="K8" i="4"/>
  <c r="I8" i="4"/>
  <c r="G8" i="4"/>
  <c r="F8" i="4"/>
  <c r="H8" i="4" s="1"/>
  <c r="E8" i="4"/>
  <c r="D8" i="4"/>
  <c r="C8" i="4"/>
  <c r="B8" i="4"/>
  <c r="A8" i="4"/>
  <c r="L7" i="4"/>
  <c r="K7" i="4"/>
  <c r="I7" i="4"/>
  <c r="G7" i="4"/>
  <c r="F7" i="4"/>
  <c r="H7" i="4" s="1"/>
  <c r="E7" i="4"/>
  <c r="D7" i="4"/>
  <c r="C7" i="4"/>
  <c r="B7" i="4"/>
  <c r="A7" i="4"/>
  <c r="L6" i="4"/>
  <c r="K6" i="4"/>
  <c r="I6" i="4"/>
  <c r="G6" i="4"/>
  <c r="F6" i="4"/>
  <c r="H6" i="4" s="1"/>
  <c r="J6" i="4" s="1"/>
  <c r="E6" i="4"/>
  <c r="D6" i="4"/>
  <c r="C6" i="4"/>
  <c r="B6" i="4"/>
  <c r="A6" i="4"/>
  <c r="L5" i="4"/>
  <c r="K5" i="4"/>
  <c r="I5" i="4"/>
  <c r="G5" i="4"/>
  <c r="F5" i="4"/>
  <c r="H5" i="4" s="1"/>
  <c r="E5" i="4"/>
  <c r="D5" i="4"/>
  <c r="C5" i="4"/>
  <c r="B5" i="4"/>
  <c r="A5" i="4"/>
  <c r="L4" i="4"/>
  <c r="K4" i="4"/>
  <c r="I4" i="4"/>
  <c r="G4" i="4"/>
  <c r="F4" i="4"/>
  <c r="H4" i="4" s="1"/>
  <c r="E4" i="4"/>
  <c r="D4" i="4"/>
  <c r="C4" i="4"/>
  <c r="B4" i="4"/>
  <c r="A4" i="4"/>
  <c r="L3" i="4"/>
  <c r="K3" i="4"/>
  <c r="I3" i="4"/>
  <c r="G3" i="4"/>
  <c r="F3" i="4"/>
  <c r="H3" i="4" s="1"/>
  <c r="E3" i="4"/>
  <c r="D3" i="4"/>
  <c r="C3" i="4"/>
  <c r="B3" i="4"/>
  <c r="A3" i="4"/>
  <c r="L2" i="4"/>
  <c r="K2" i="4"/>
  <c r="I2" i="4"/>
  <c r="G2" i="4"/>
  <c r="F2" i="4"/>
  <c r="E2" i="4"/>
  <c r="D2" i="4"/>
  <c r="C2" i="4"/>
  <c r="B2" i="4"/>
  <c r="A2" i="4"/>
  <c r="E13" i="2"/>
  <c r="D12" i="2"/>
  <c r="H79" i="4" l="1"/>
  <c r="D8" i="5"/>
  <c r="D7" i="5"/>
  <c r="D6" i="5"/>
  <c r="D5" i="5"/>
  <c r="J58" i="4"/>
  <c r="C16" i="5" s="1"/>
  <c r="B16" i="5"/>
  <c r="B20" i="5"/>
  <c r="J26" i="4"/>
  <c r="C20" i="5" s="1"/>
  <c r="J23" i="4"/>
  <c r="C13" i="5" s="1"/>
  <c r="B13" i="5"/>
  <c r="J19" i="4"/>
  <c r="C18" i="5" s="1"/>
  <c r="B18" i="5"/>
  <c r="J17" i="4"/>
  <c r="J15" i="4"/>
  <c r="B7" i="5"/>
  <c r="J14" i="4"/>
  <c r="C23" i="5" s="1"/>
  <c r="B23" i="5"/>
  <c r="J13" i="4"/>
  <c r="J10" i="4"/>
  <c r="C24" i="5" s="1"/>
  <c r="B24" i="5"/>
  <c r="J8" i="4"/>
  <c r="G5" i="5"/>
  <c r="J7" i="4"/>
  <c r="C17" i="5" s="1"/>
  <c r="B17" i="5"/>
  <c r="B19" i="5"/>
  <c r="J5" i="4"/>
  <c r="J4" i="4"/>
  <c r="C15" i="5" s="1"/>
  <c r="B15" i="5"/>
  <c r="J3" i="4"/>
  <c r="B5" i="5"/>
  <c r="B22" i="5"/>
  <c r="H2" i="4"/>
  <c r="G7" i="6"/>
  <c r="J79" i="4" l="1"/>
  <c r="C21" i="5" s="1"/>
  <c r="B21" i="5"/>
  <c r="B8" i="5"/>
  <c r="G6" i="5"/>
  <c r="H6" i="5"/>
  <c r="C19" i="5"/>
  <c r="C5" i="5"/>
  <c r="C22" i="5"/>
  <c r="J2" i="4"/>
  <c r="G7" i="5"/>
  <c r="B14" i="5"/>
  <c r="B6" i="5"/>
  <c r="A7" i="6"/>
  <c r="C7" i="5"/>
  <c r="C8" i="5"/>
  <c r="H5" i="5"/>
  <c r="H7" i="5" l="1"/>
  <c r="C6" i="5"/>
  <c r="C14" i="5"/>
  <c r="D7" i="6"/>
</calcChain>
</file>

<file path=xl/sharedStrings.xml><?xml version="1.0" encoding="utf-8"?>
<sst xmlns="http://schemas.openxmlformats.org/spreadsheetml/2006/main" count="857" uniqueCount="246">
  <si>
    <t>EXCEL DASHBOARD PROJECT — INSTRUCTIONS</t>
  </si>
  <si>
    <t>Sr. No.</t>
  </si>
  <si>
    <t>Task Description</t>
  </si>
  <si>
    <t>How to Complete</t>
  </si>
  <si>
    <t>Status</t>
  </si>
  <si>
    <t>Time Limit: 3 hours</t>
  </si>
  <si>
    <t>Complete tasks in the listed order.</t>
  </si>
  <si>
    <t>Ready</t>
  </si>
  <si>
    <t>Choose any dataset from Kaggle/UCI ML Repository</t>
  </si>
  <si>
    <t>This workbook uses a sample Retail Sales dataset for practice. Replace it with an approved Kaggle/UCI dataset if required.</t>
  </si>
  <si>
    <t>Create an interactive dashboard</t>
  </si>
  <si>
    <t>Use Dashboard filters for Region and Category; KPI cards and charts update based on the selected filters.</t>
  </si>
  <si>
    <t>Complete tasks in order listed</t>
  </si>
  <si>
    <t>Follow the Tasks sheet from data import through documentation.</t>
  </si>
  <si>
    <t>Save work every 15 minutes</t>
  </si>
  <si>
    <t>Press Ctrl+S regularly while working.</t>
  </si>
  <si>
    <t>Reminder</t>
  </si>
  <si>
    <t>Submit final file as 'YourName_ExcelDashboard.xlsx'</t>
  </si>
  <si>
    <t>Rename this file using your name before submitting.</t>
  </si>
  <si>
    <t>Rename before submission</t>
  </si>
  <si>
    <t>TASK PLAN &amp; SKILLS CHECKLIST</t>
  </si>
  <si>
    <t>Skills Tested</t>
  </si>
  <si>
    <t>Time Estimate Min</t>
  </si>
  <si>
    <t>Weightage</t>
  </si>
  <si>
    <t>Dataset Selection &amp; Import</t>
  </si>
  <si>
    <t>Data Import, Initial Cleaning</t>
  </si>
  <si>
    <t>Data Cleaning &amp; Preparation</t>
  </si>
  <si>
    <t>Remove duplicates, Handle missing values, Format data types</t>
  </si>
  <si>
    <t>Create Pivot Tables</t>
  </si>
  <si>
    <t>Data Analysis, Summarization</t>
  </si>
  <si>
    <t>Advanced Formulas</t>
  </si>
  <si>
    <t>VLOOKUP, INDEX-MATCH, IF conditions, nested functions</t>
  </si>
  <si>
    <t>Data Visualization</t>
  </si>
  <si>
    <t>Charts, Conditional Formatting</t>
  </si>
  <si>
    <t>Interactive Dashboard</t>
  </si>
  <si>
    <t>Slicers, Timeline, Dynamic ranges; dropdown filters used in this workbook</t>
  </si>
  <si>
    <t>Documentation</t>
  </si>
  <si>
    <t>Sheet organization, Naming conventions, Instructions</t>
  </si>
  <si>
    <t>Total time (minutes)</t>
  </si>
  <si>
    <t>Total weightage</t>
  </si>
  <si>
    <t>Order ID</t>
  </si>
  <si>
    <t>Order Date</t>
  </si>
  <si>
    <t>Region</t>
  </si>
  <si>
    <t>Category</t>
  </si>
  <si>
    <t>Product</t>
  </si>
  <si>
    <t>Units</t>
  </si>
  <si>
    <t>Unit Price</t>
  </si>
  <si>
    <t>Sales</t>
  </si>
  <si>
    <t>Cost</t>
  </si>
  <si>
    <t>Profit</t>
  </si>
  <si>
    <t>Salesperson</t>
  </si>
  <si>
    <t>Customer Type</t>
  </si>
  <si>
    <t>ORD0001</t>
  </si>
  <si>
    <t>South</t>
  </si>
  <si>
    <t>Office Supplies</t>
  </si>
  <si>
    <t>Notebook</t>
  </si>
  <si>
    <t>Jay</t>
  </si>
  <si>
    <t>New</t>
  </si>
  <si>
    <t>ORD0002</t>
  </si>
  <si>
    <t>North</t>
  </si>
  <si>
    <t>Stapler</t>
  </si>
  <si>
    <t>Ravi</t>
  </si>
  <si>
    <t>Business</t>
  </si>
  <si>
    <t>ORD0003</t>
  </si>
  <si>
    <t>Kiran</t>
  </si>
  <si>
    <t>Returning</t>
  </si>
  <si>
    <t>ORD0004</t>
  </si>
  <si>
    <t>Furniture</t>
  </si>
  <si>
    <t>Chair</t>
  </si>
  <si>
    <t>Asha</t>
  </si>
  <si>
    <t>ORD0005</t>
  </si>
  <si>
    <t>Bookshelf</t>
  </si>
  <si>
    <t>ORD0006</t>
  </si>
  <si>
    <t>ORD0007</t>
  </si>
  <si>
    <t>Electronics</t>
  </si>
  <si>
    <t>Keyboard</t>
  </si>
  <si>
    <t>Neha</t>
  </si>
  <si>
    <t>ORD0008</t>
  </si>
  <si>
    <t>Printer Paper</t>
  </si>
  <si>
    <t>ORD0009</t>
  </si>
  <si>
    <t>Cabinet</t>
  </si>
  <si>
    <t>ORD0010</t>
  </si>
  <si>
    <t>Laptop</t>
  </si>
  <si>
    <t>ORD0011</t>
  </si>
  <si>
    <t>ORD0012</t>
  </si>
  <si>
    <t>West</t>
  </si>
  <si>
    <t>ORD0013</t>
  </si>
  <si>
    <t>ORD0014</t>
  </si>
  <si>
    <t>East</t>
  </si>
  <si>
    <t>Desk</t>
  </si>
  <si>
    <t>ORD0015</t>
  </si>
  <si>
    <t>ORD0016</t>
  </si>
  <si>
    <t>ORD0017</t>
  </si>
  <si>
    <t>Monitor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</si>
  <si>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</si>
  <si>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</si>
  <si>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</si>
  <si>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</si>
  <si>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</si>
  <si>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</si>
  <si>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</si>
  <si>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</si>
  <si>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</si>
  <si>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</si>
  <si>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</si>
  <si>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</si>
  <si>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</si>
  <si>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</si>
  <si>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</si>
  <si>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</si>
  <si>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Pen Set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</si>
  <si>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</si>
  <si>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</si>
  <si>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</si>
  <si>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</si>
  <si>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</si>
  <si>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</si>
  <si>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</si>
  <si>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</si>
  <si>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</si>
  <si>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</si>
  <si>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</si>
  <si>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</si>
  <si>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</si>
  <si>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</si>
  <si>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</si>
  <si>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Headphones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</si>
  <si>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</si>
  <si>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</si>
  <si>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</si>
  <si>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</si>
  <si>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</si>
  <si>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</si>
  <si>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</si>
  <si>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</si>
  <si>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</si>
  <si>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</si>
  <si>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</si>
  <si>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</si>
  <si>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</si>
  <si>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</si>
  <si>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</si>
  <si>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</si>
  <si>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</si>
  <si>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</si>
  <si>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</si>
  <si>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</si>
  <si>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</si>
  <si>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</si>
  <si>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</si>
  <si>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</si>
  <si>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</si>
  <si>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</si>
  <si>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</si>
  <si>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</si>
  <si>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</si>
  <si>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</si>
  <si>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</si>
  <si>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</si>
  <si>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</si>
  <si>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</si>
  <si>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</si>
  <si>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</si>
  <si>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</si>
  <si>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</si>
  <si>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</si>
  <si>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</si>
  <si>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</si>
  <si>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</si>
  <si>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</si>
  <si>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</si>
  <si>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</si>
  <si>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</si>
  <si>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</si>
  <si>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</si>
  <si>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</si>
  <si>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</si>
  <si>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</si>
  <si>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</si>
  <si>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</si>
  <si>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</si>
  <si>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</si>
  <si>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</si>
  <si>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</si>
  <si>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</si>
  <si>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</si>
  <si>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</si>
  <si>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</si>
  <si>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</si>
  <si>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</si>
  <si>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</si>
  <si>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</si>
  <si>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</si>
  <si>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</si>
  <si>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</si>
  <si>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</si>
  <si>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</si>
  <si>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</si>
  <si>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</si>
  <si>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ANALYSIS &amp; PIVOT-STYLE SUMMARY TABLES</t>
  </si>
  <si>
    <t>Sales by Region</t>
  </si>
  <si>
    <t>Sales by Category</t>
  </si>
  <si>
    <t>Total Sales</t>
  </si>
  <si>
    <t>Total Profit</t>
  </si>
  <si>
    <t>Orders</t>
  </si>
  <si>
    <t>Monthly Sales</t>
  </si>
  <si>
    <t>Month</t>
  </si>
  <si>
    <t>RETAIL SALES INTERACTIVE DASHBOARD</t>
  </si>
  <si>
    <t>Region Filter</t>
  </si>
  <si>
    <t>All</t>
  </si>
  <si>
    <t>Category Filter</t>
  </si>
  <si>
    <t>Change the dropdowns to filter KPI totals. Charts below show overall summaries; use Analysis for region/category detail.</t>
  </si>
  <si>
    <t>Units Sold</t>
  </si>
  <si>
    <t>DOCUMENTATION &amp; FORMULA GUIDE</t>
  </si>
  <si>
    <t>Area</t>
  </si>
  <si>
    <t>What is included</t>
  </si>
  <si>
    <t>Formula / method</t>
  </si>
  <si>
    <t>Notes</t>
  </si>
  <si>
    <t>Dataset</t>
  </si>
  <si>
    <t>Retail sales practice data, 120 records</t>
  </si>
  <si>
    <t>Generated sample dataset</t>
  </si>
  <si>
    <t>Use a Kaggle/UCI dataset if your instructor requires a published dataset.</t>
  </si>
  <si>
    <t>Cleaning</t>
  </si>
  <si>
    <t>Clean Data sheet references Raw Data, fills missing units with 0, salesperson with Unknown, recalculates Sales and Profit</t>
  </si>
  <si>
    <t>IF, cell references</t>
  </si>
  <si>
    <t>Raw Data includes a deliberate duplicate and missing values for practice.</t>
  </si>
  <si>
    <t>Summary tables</t>
  </si>
  <si>
    <t>Region, category and monthly sales summaries</t>
  </si>
  <si>
    <t>SUMIF, COUNTIF, SUMIFS, EDATE</t>
  </si>
  <si>
    <t>These are pivot-style summaries built with formulas.</t>
  </si>
  <si>
    <t>Advanced formulas</t>
  </si>
  <si>
    <t>Sales and profit calculations; filter-driven KPIs</t>
  </si>
  <si>
    <t>IF, SUMPRODUCT, SUMIF, SUMIFS</t>
  </si>
  <si>
    <t>VLOOKUP/INDEX-MATCH can be added if the instructor provides a lookup table.</t>
  </si>
  <si>
    <t>Visualization</t>
  </si>
  <si>
    <t>Region bar chart, category pie chart, monthly trend line chart</t>
  </si>
  <si>
    <t>Excel charts, conditional formatting</t>
  </si>
  <si>
    <t>Charts are linked to Analysis summary tables.</t>
  </si>
  <si>
    <t>Interactive controls</t>
  </si>
  <si>
    <t>Region and Category dropdowns on Dashboard</t>
  </si>
  <si>
    <t>Data Validation + SUMPRODUCT</t>
  </si>
  <si>
    <t>Dropdowns act as simple interactive filters. Native slicers/timeline need Excel PivotTables created in desktop Excel.</t>
  </si>
  <si>
    <t>Submission</t>
  </si>
  <si>
    <t>Save as YourName_ExcelDashboard.xlsx</t>
  </si>
  <si>
    <t>Save As</t>
  </si>
  <si>
    <t>Rename before submitting.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</si>
</sst>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&quot;$&quot;#,##0.00"/>
    <numFmt numFmtId="167" formatCode="mmm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17365D"/>
      <name val="Calibri"/>
    </font>
    <font>
      <b/>
      <sz val="11"/>
      <color rgb="FFFFFFFF"/>
      <name val="Calibri"/>
    </font>
    <font>
      <b/>
      <sz val="18"/>
      <color rgb="FF17365D"/>
      <name val="Calibri"/>
    </font>
    <font>
      <b/>
      <sz val="11"/>
      <color theme="1"/>
      <name val="Calibri"/>
      <family val="2"/>
      <scheme val="minor"/>
    </font>
    <font>
      <b/>
      <sz val="11"/>
      <color rgb="FF17365D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 applyAlignment="1">
      <alignment vertical="center" wrapText="1"/>
    </xf>
    <xf numFmtId="166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/>
    <xf numFmtId="0" fontId="5" fillId="3" borderId="0" xfId="0" applyFont="1" applyFill="1" applyAlignment="1">
      <alignment vertical="center" wrapText="1"/>
    </xf>
    <xf numFmtId="3" fontId="6" fillId="4" borderId="0" xfId="0" applyNumberFormat="1" applyFont="1" applyFill="1" applyAlignment="1">
      <alignment horizontal="center" vertical="center"/>
    </xf>
    <xf numFmtId="166" fontId="6" fillId="4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6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4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Analysis!$B$4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Analysis!$A$5:$A$8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Analysis!$B$5:$B$8</c:f>
              <c:numCache>
                <c:formatCode>"$"#,##0.00</c:formatCode>
                <c:ptCount val="4"/>
                <c:pt idx="0">
                  <c:v>32981.26</c:v>
                </c:pt>
                <c:pt idx="1">
                  <c:v>44165.540000000008</c:v>
                </c:pt>
                <c:pt idx="2">
                  <c:v>20943.759999999998</c:v>
                </c:pt>
                <c:pt idx="3">
                  <c:v>29536.290000000005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2-44E4-8401-12FFB2265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($)</a:t>
                </a:r>
              </a:p>
            </c:rich>
          </c:tx>
          <c:layout>
            <c:manualLayout>
              <c:xMode val="edge"/>
              <c:yMode val="edge"/>
              <c:x val="0"/>
              <c:y val="0.40248214285714284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Share by Category</a:t>
            </a:r>
          </a:p>
        </c:rich>
      </c:tx>
      <c:layout>
        <c:manualLayout>
          <c:xMode val="edge"/>
          <c:yMode val="edge"/>
          <c:x val="4.0154040404040421E-2"/>
          <c:y val="3.5277777777777776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Analysis!$G$4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Analysis!$F$5:$F$7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Analysis!$G$5:$G$7</c:f>
              <c:numCache>
                <c:formatCode>"$"#,##0.00</c:formatCode>
                <c:ptCount val="3"/>
                <c:pt idx="0">
                  <c:v>84037.89</c:v>
                </c:pt>
                <c:pt idx="1">
                  <c:v>40857.300000000003</c:v>
                </c:pt>
                <c:pt idx="2">
                  <c:v>2731.6600000000008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C-43FA-B09F-DE3600124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4247272727272728"/>
          <c:y val="0.72615873015873011"/>
          <c:w val="0.2479060606060606"/>
          <c:h val="0.273396428571428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layout>
        <c:manualLayout>
          <c:xMode val="edge"/>
          <c:yMode val="edge"/>
          <c:x val="0.41040416666666668"/>
          <c:y val="6.0476190476190475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Analysis!$B$12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Analysis!$A$13:$A$24</c:f>
              <c:numCache>
                <c:formatCode>mmm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Analysis!$B$13:$B$24</c:f>
              <c:numCache>
                <c:formatCode>"$"#,##0.00</c:formatCode>
                <c:ptCount val="12"/>
                <c:pt idx="0">
                  <c:v>7969.55</c:v>
                </c:pt>
                <c:pt idx="1">
                  <c:v>7052.56</c:v>
                </c:pt>
                <c:pt idx="2">
                  <c:v>17832.54</c:v>
                </c:pt>
                <c:pt idx="3">
                  <c:v>718.97</c:v>
                </c:pt>
                <c:pt idx="4">
                  <c:v>17501.330000000002</c:v>
                </c:pt>
                <c:pt idx="5">
                  <c:v>9697.06</c:v>
                </c:pt>
                <c:pt idx="6">
                  <c:v>10990.939999999999</c:v>
                </c:pt>
                <c:pt idx="7">
                  <c:v>6177.73</c:v>
                </c:pt>
                <c:pt idx="8">
                  <c:v>17785.22</c:v>
                </c:pt>
                <c:pt idx="9">
                  <c:v>18951.100000000002</c:v>
                </c:pt>
                <c:pt idx="10">
                  <c:v>5204.4900000000007</c:v>
                </c:pt>
                <c:pt idx="11">
                  <c:v>7745.36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5C-4BA1-ABAA-7366C7B3B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($)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9</xdr:row>
      <xdr:rowOff>0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648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SalesTable" displayName="RawSalesTable" ref="A1:L122" headerRowDxfId="19" dataDxfId="17" totalsRowDxfId="18" headerRowBorderDxfId="32" tableBorderDxfId="33">
  <autoFilter ref="A1:L122" xr:uid="{00000000-0009-0000-0100-000001000000}"/>
  <tableColumns count="12">
    <tableColumn id="1" xr3:uid="{00000000-0010-0000-0000-000001000000}" name="Order ID" dataDxfId="31"/>
    <tableColumn id="2" xr3:uid="{00000000-0010-0000-0000-000002000000}" name="Order Date" dataDxfId="30"/>
    <tableColumn id="3" xr3:uid="{00000000-0010-0000-0000-000003000000}" name="Region" dataDxfId="29"/>
    <tableColumn id="4" xr3:uid="{00000000-0010-0000-0000-000004000000}" name="Category" dataDxfId="28"/>
    <tableColumn id="5" xr3:uid="{00000000-0010-0000-0000-000005000000}" name="Product" dataDxfId="27"/>
    <tableColumn id="6" xr3:uid="{00000000-0010-0000-0000-000006000000}" name="Units" dataDxfId="26"/>
    <tableColumn id="7" xr3:uid="{00000000-0010-0000-0000-000007000000}" name="Unit Price" dataDxfId="25"/>
    <tableColumn id="8" xr3:uid="{00000000-0010-0000-0000-000008000000}" name="Sales" dataDxfId="24"/>
    <tableColumn id="9" xr3:uid="{00000000-0010-0000-0000-000009000000}" name="Cost" dataDxfId="23"/>
    <tableColumn id="10" xr3:uid="{00000000-0010-0000-0000-00000A000000}" name="Profit" dataDxfId="22"/>
    <tableColumn id="11" xr3:uid="{00000000-0010-0000-0000-00000B000000}" name="Salesperson" dataDxfId="21"/>
    <tableColumn id="12" xr3:uid="{00000000-0010-0000-0000-00000C000000}" name="Customer Typ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SalesTable" displayName="CleanSalesTable" ref="A1:L121" headerRowDxfId="1" dataDxfId="16" totalsRowDxfId="0" headerRowBorderDxfId="14" tableBorderDxfId="15">
  <autoFilter ref="A1:L121" xr:uid="{00000000-0009-0000-0100-000002000000}"/>
  <tableColumns count="12">
    <tableColumn id="1" xr3:uid="{00000000-0010-0000-0100-000001000000}" name="Order ID" dataDxfId="13"/>
    <tableColumn id="2" xr3:uid="{00000000-0010-0000-0100-000002000000}" name="Order Date" dataDxfId="12"/>
    <tableColumn id="3" xr3:uid="{00000000-0010-0000-0100-000003000000}" name="Region" dataDxfId="11"/>
    <tableColumn id="4" xr3:uid="{00000000-0010-0000-0100-000004000000}" name="Category" dataDxfId="10"/>
    <tableColumn id="5" xr3:uid="{00000000-0010-0000-0100-000005000000}" name="Product" dataDxfId="9"/>
    <tableColumn id="6" xr3:uid="{00000000-0010-0000-0100-000006000000}" name="Units" dataDxfId="8"/>
    <tableColumn id="7" xr3:uid="{00000000-0010-0000-0100-000007000000}" name="Unit Price" dataDxfId="7"/>
    <tableColumn id="8" xr3:uid="{00000000-0010-0000-0100-000008000000}" name="Sales" dataDxfId="6"/>
    <tableColumn id="9" xr3:uid="{00000000-0010-0000-0100-000009000000}" name="Cost" dataDxfId="5"/>
    <tableColumn id="10" xr3:uid="{00000000-0010-0000-0100-00000A000000}" name="Profit" dataDxfId="4"/>
    <tableColumn id="11" xr3:uid="{00000000-0010-0000-0100-00000B000000}" name="Salesperson" dataDxfId="3"/>
    <tableColumn id="12" xr3:uid="{00000000-0010-0000-0100-00000C000000}" name="Customer Type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9"/>
  <sheetViews>
    <sheetView showGridLines="0" tabSelected="1" workbookViewId="0">
      <pane ySplit="3" topLeftCell="A4" activePane="bottomLeft" state="frozen"/>
      <selection pane="bottomLeft" activeCell="C13" sqref="C13"/>
    </sheetView>
  </sheetViews>
  <sheetFormatPr defaultRowHeight="14.4" x14ac:dyDescent="0.3"/>
  <cols>
    <col min="1" max="1" width="12" customWidth="1"/>
    <col min="2" max="2" width="42" customWidth="1"/>
    <col min="3" max="3" width="85" customWidth="1"/>
    <col min="4" max="4" width="24" customWidth="1"/>
  </cols>
  <sheetData>
    <row r="1" spans="1:4" ht="28.05" customHeight="1" x14ac:dyDescent="0.3">
      <c r="A1" s="10" t="s">
        <v>0</v>
      </c>
      <c r="B1" s="11"/>
      <c r="C1" s="11"/>
      <c r="D1" s="11"/>
    </row>
    <row r="2" spans="1:4" x14ac:dyDescent="0.3">
      <c r="A2" s="12"/>
      <c r="B2" s="12"/>
      <c r="C2" s="12"/>
      <c r="D2" s="12"/>
    </row>
    <row r="3" spans="1:4" x14ac:dyDescent="0.3">
      <c r="A3" s="9" t="s">
        <v>1</v>
      </c>
      <c r="B3" s="9" t="s">
        <v>2</v>
      </c>
      <c r="C3" s="9" t="s">
        <v>3</v>
      </c>
      <c r="D3" s="9" t="s">
        <v>4</v>
      </c>
    </row>
    <row r="4" spans="1:4" x14ac:dyDescent="0.3">
      <c r="A4" s="13">
        <v>1</v>
      </c>
      <c r="B4" s="13" t="s">
        <v>5</v>
      </c>
      <c r="C4" s="13" t="s">
        <v>6</v>
      </c>
      <c r="D4" s="13" t="s">
        <v>7</v>
      </c>
    </row>
    <row r="5" spans="1:4" ht="28.8" x14ac:dyDescent="0.3">
      <c r="A5" s="13">
        <v>2</v>
      </c>
      <c r="B5" s="13" t="s">
        <v>8</v>
      </c>
      <c r="C5" s="13" t="s">
        <v>9</v>
      </c>
      <c r="D5" s="13" t="s">
        <v>7</v>
      </c>
    </row>
    <row r="6" spans="1:4" ht="28.8" x14ac:dyDescent="0.3">
      <c r="A6" s="13">
        <v>3</v>
      </c>
      <c r="B6" s="13" t="s">
        <v>10</v>
      </c>
      <c r="C6" s="13" t="s">
        <v>11</v>
      </c>
      <c r="D6" s="13" t="s">
        <v>7</v>
      </c>
    </row>
    <row r="7" spans="1:4" x14ac:dyDescent="0.3">
      <c r="A7" s="13">
        <v>4</v>
      </c>
      <c r="B7" s="13" t="s">
        <v>12</v>
      </c>
      <c r="C7" s="13" t="s">
        <v>13</v>
      </c>
      <c r="D7" s="13" t="s">
        <v>7</v>
      </c>
    </row>
    <row r="8" spans="1:4" x14ac:dyDescent="0.3">
      <c r="A8" s="13">
        <v>5</v>
      </c>
      <c r="B8" s="13" t="s">
        <v>14</v>
      </c>
      <c r="C8" s="13" t="s">
        <v>15</v>
      </c>
      <c r="D8" s="13" t="s">
        <v>16</v>
      </c>
    </row>
    <row r="9" spans="1:4" ht="28.8" x14ac:dyDescent="0.3">
      <c r="A9" s="13">
        <v>6</v>
      </c>
      <c r="B9" s="13" t="s">
        <v>17</v>
      </c>
      <c r="C9" s="13" t="s">
        <v>18</v>
      </c>
      <c r="D9" s="13" t="s">
        <v>19</v>
      </c>
    </row>
  </sheetData>
  <mergeCells count="1">
    <mergeCell ref="A1:D1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3"/>
  <sheetViews>
    <sheetView showGridLines="0" workbookViewId="0">
      <pane ySplit="3" topLeftCell="A4" activePane="bottomLeft" state="frozen"/>
      <selection pane="bottomLeft" activeCell="D16" sqref="D16"/>
    </sheetView>
  </sheetViews>
  <sheetFormatPr defaultRowHeight="14.4" x14ac:dyDescent="0.3"/>
  <cols>
    <col min="1" max="1" width="12" customWidth="1"/>
    <col min="2" max="2" width="34" customWidth="1"/>
    <col min="3" max="3" width="65" customWidth="1"/>
    <col min="4" max="4" width="20" customWidth="1"/>
    <col min="5" max="5" width="15" customWidth="1"/>
  </cols>
  <sheetData>
    <row r="1" spans="1:5" ht="28.05" customHeight="1" x14ac:dyDescent="0.4">
      <c r="A1" s="3" t="s">
        <v>20</v>
      </c>
      <c r="B1" s="4"/>
      <c r="C1" s="4"/>
      <c r="D1" s="4"/>
      <c r="E1" s="4"/>
    </row>
    <row r="3" spans="1:5" x14ac:dyDescent="0.3">
      <c r="A3" s="9" t="s">
        <v>1</v>
      </c>
      <c r="B3" s="9" t="s">
        <v>2</v>
      </c>
      <c r="C3" s="9" t="s">
        <v>21</v>
      </c>
      <c r="D3" s="9" t="s">
        <v>22</v>
      </c>
      <c r="E3" s="9" t="s">
        <v>23</v>
      </c>
    </row>
    <row r="4" spans="1:5" x14ac:dyDescent="0.3">
      <c r="A4" s="13">
        <v>1</v>
      </c>
      <c r="B4" s="13" t="s">
        <v>24</v>
      </c>
      <c r="C4" s="13" t="s">
        <v>25</v>
      </c>
      <c r="D4" s="13">
        <v>15</v>
      </c>
      <c r="E4" s="15">
        <v>0.05</v>
      </c>
    </row>
    <row r="5" spans="1:5" x14ac:dyDescent="0.3">
      <c r="A5" s="13">
        <v>2</v>
      </c>
      <c r="B5" s="13" t="s">
        <v>26</v>
      </c>
      <c r="C5" s="13" t="s">
        <v>27</v>
      </c>
      <c r="D5" s="13">
        <v>25</v>
      </c>
      <c r="E5" s="15">
        <v>0.1</v>
      </c>
    </row>
    <row r="6" spans="1:5" x14ac:dyDescent="0.3">
      <c r="A6" s="13">
        <v>3</v>
      </c>
      <c r="B6" s="13" t="s">
        <v>28</v>
      </c>
      <c r="C6" s="13" t="s">
        <v>29</v>
      </c>
      <c r="D6" s="13">
        <v>30</v>
      </c>
      <c r="E6" s="15">
        <v>0.15</v>
      </c>
    </row>
    <row r="7" spans="1:5" x14ac:dyDescent="0.3">
      <c r="A7" s="13">
        <v>4</v>
      </c>
      <c r="B7" s="13" t="s">
        <v>30</v>
      </c>
      <c r="C7" s="13" t="s">
        <v>31</v>
      </c>
      <c r="D7" s="13">
        <v>35</v>
      </c>
      <c r="E7" s="15">
        <v>0.15</v>
      </c>
    </row>
    <row r="8" spans="1:5" x14ac:dyDescent="0.3">
      <c r="A8" s="13">
        <v>5</v>
      </c>
      <c r="B8" s="13" t="s">
        <v>32</v>
      </c>
      <c r="C8" s="13" t="s">
        <v>33</v>
      </c>
      <c r="D8" s="13">
        <v>40</v>
      </c>
      <c r="E8" s="15">
        <v>0.2</v>
      </c>
    </row>
    <row r="9" spans="1:5" x14ac:dyDescent="0.3">
      <c r="A9" s="13">
        <v>6</v>
      </c>
      <c r="B9" s="13" t="s">
        <v>34</v>
      </c>
      <c r="C9" s="13" t="s">
        <v>35</v>
      </c>
      <c r="D9" s="13">
        <v>45</v>
      </c>
      <c r="E9" s="15">
        <v>0.25</v>
      </c>
    </row>
    <row r="10" spans="1:5" x14ac:dyDescent="0.3">
      <c r="A10" s="13">
        <v>7</v>
      </c>
      <c r="B10" s="13" t="s">
        <v>36</v>
      </c>
      <c r="C10" s="13" t="s">
        <v>37</v>
      </c>
      <c r="D10" s="13">
        <v>20</v>
      </c>
      <c r="E10" s="15">
        <v>0.1</v>
      </c>
    </row>
    <row r="11" spans="1:5" x14ac:dyDescent="0.3">
      <c r="A11" s="14"/>
      <c r="B11" s="14"/>
      <c r="C11" s="14"/>
      <c r="D11" s="14"/>
      <c r="E11" s="14"/>
    </row>
    <row r="12" spans="1:5" x14ac:dyDescent="0.3">
      <c r="A12" s="12"/>
      <c r="B12" s="12"/>
      <c r="C12" s="16" t="s">
        <v>38</v>
      </c>
      <c r="D12" s="16">
        <f>SUM(D4:D10)</f>
        <v>210</v>
      </c>
      <c r="E12" s="12"/>
    </row>
    <row r="13" spans="1:5" x14ac:dyDescent="0.3">
      <c r="A13" s="12"/>
      <c r="B13" s="12"/>
      <c r="C13" s="16" t="s">
        <v>39</v>
      </c>
      <c r="D13" s="12"/>
      <c r="E13" s="17">
        <f>SUM(E4:E10)</f>
        <v>1.0000000000000002</v>
      </c>
    </row>
  </sheetData>
  <mergeCells count="1">
    <mergeCell ref="A1:E1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22"/>
  <sheetViews>
    <sheetView showGridLines="0" workbookViewId="0">
      <pane ySplit="1" topLeftCell="A2" activePane="bottomLeft" state="frozen"/>
      <selection pane="bottomLeft" activeCell="E125" sqref="E125"/>
    </sheetView>
  </sheetViews>
  <sheetFormatPr defaultRowHeight="14.4" x14ac:dyDescent="0.3"/>
  <cols>
    <col min="1" max="1" width="14" customWidth="1"/>
    <col min="2" max="2" width="15" customWidth="1"/>
    <col min="3" max="3" width="14" customWidth="1"/>
    <col min="4" max="4" width="22" customWidth="1"/>
    <col min="5" max="5" width="18" customWidth="1"/>
    <col min="6" max="6" width="10" customWidth="1"/>
    <col min="7" max="10" width="14" customWidth="1"/>
    <col min="11" max="11" width="16" customWidth="1"/>
    <col min="12" max="12" width="18" customWidth="1"/>
  </cols>
  <sheetData>
    <row r="1" spans="1:12" x14ac:dyDescent="0.3">
      <c r="A1" s="18" t="s">
        <v>40</v>
      </c>
      <c r="B1" s="19" t="s">
        <v>41</v>
      </c>
      <c r="C1" s="19" t="s">
        <v>42</v>
      </c>
      <c r="D1" s="19" t="s">
        <v>43</v>
      </c>
      <c r="E1" s="19" t="s">
        <v>44</v>
      </c>
      <c r="F1" s="19" t="s">
        <v>45</v>
      </c>
      <c r="G1" s="19" t="s">
        <v>46</v>
      </c>
      <c r="H1" s="19" t="s">
        <v>47</v>
      </c>
      <c r="I1" s="19" t="s">
        <v>48</v>
      </c>
      <c r="J1" s="19" t="s">
        <v>49</v>
      </c>
      <c r="K1" s="19" t="s">
        <v>50</v>
      </c>
      <c r="L1" s="20" t="s">
        <v>51</v>
      </c>
    </row>
    <row r="2" spans="1:12" x14ac:dyDescent="0.3">
      <c r="A2" s="21" t="s">
        <v>52</v>
      </c>
      <c r="B2" s="22">
        <v>45710</v>
      </c>
      <c r="C2" s="13" t="s">
        <v>53</v>
      </c>
      <c r="D2" s="13" t="s">
        <v>54</v>
      </c>
      <c r="E2" s="13" t="s">
        <v>55</v>
      </c>
      <c r="F2" s="13">
        <v>1</v>
      </c>
      <c r="G2" s="23">
        <v>5.29</v>
      </c>
      <c r="H2" s="23">
        <v>5.29</v>
      </c>
      <c r="I2" s="23">
        <v>3.14</v>
      </c>
      <c r="J2" s="23">
        <v>2.15</v>
      </c>
      <c r="K2" s="13" t="s">
        <v>56</v>
      </c>
      <c r="L2" s="24" t="s">
        <v>57</v>
      </c>
    </row>
    <row r="3" spans="1:12" x14ac:dyDescent="0.3">
      <c r="A3" s="21" t="s">
        <v>58</v>
      </c>
      <c r="B3" s="22">
        <v>45945</v>
      </c>
      <c r="C3" s="13" t="s">
        <v>59</v>
      </c>
      <c r="D3" s="13" t="s">
        <v>54</v>
      </c>
      <c r="E3" s="13" t="s">
        <v>60</v>
      </c>
      <c r="F3" s="13">
        <v>1</v>
      </c>
      <c r="G3" s="23">
        <v>8.8699999999999992</v>
      </c>
      <c r="H3" s="23">
        <v>8.8699999999999992</v>
      </c>
      <c r="I3" s="23">
        <v>5.19</v>
      </c>
      <c r="J3" s="23">
        <v>3.68</v>
      </c>
      <c r="K3" s="13" t="s">
        <v>61</v>
      </c>
      <c r="L3" s="24" t="s">
        <v>62</v>
      </c>
    </row>
    <row r="4" spans="1:12" x14ac:dyDescent="0.3">
      <c r="A4" s="21" t="s">
        <v>63</v>
      </c>
      <c r="B4" s="22">
        <v>45739</v>
      </c>
      <c r="C4" s="13" t="s">
        <v>59</v>
      </c>
      <c r="D4" s="13" t="s">
        <v>54</v>
      </c>
      <c r="E4" s="13" t="s">
        <v>60</v>
      </c>
      <c r="F4" s="13">
        <v>4</v>
      </c>
      <c r="G4" s="23">
        <v>9.8800000000000008</v>
      </c>
      <c r="H4" s="23">
        <v>39.520000000000003</v>
      </c>
      <c r="I4" s="23">
        <v>23.85</v>
      </c>
      <c r="J4" s="23">
        <v>15.67</v>
      </c>
      <c r="K4" s="13" t="s">
        <v>64</v>
      </c>
      <c r="L4" s="24" t="s">
        <v>65</v>
      </c>
    </row>
    <row r="5" spans="1:12" x14ac:dyDescent="0.3">
      <c r="A5" s="21" t="s">
        <v>66</v>
      </c>
      <c r="B5" s="22">
        <v>45852</v>
      </c>
      <c r="C5" s="13" t="s">
        <v>59</v>
      </c>
      <c r="D5" s="13" t="s">
        <v>67</v>
      </c>
      <c r="E5" s="13" t="s">
        <v>68</v>
      </c>
      <c r="F5" s="13">
        <v>4</v>
      </c>
      <c r="G5" s="23">
        <v>105.42</v>
      </c>
      <c r="H5" s="23">
        <v>421.68</v>
      </c>
      <c r="I5" s="23">
        <v>261.85000000000002</v>
      </c>
      <c r="J5" s="23">
        <v>159.83000000000001</v>
      </c>
      <c r="K5" s="13" t="s">
        <v>69</v>
      </c>
      <c r="L5" s="24" t="s">
        <v>65</v>
      </c>
    </row>
    <row r="6" spans="1:12" x14ac:dyDescent="0.3">
      <c r="A6" s="21" t="s">
        <v>70</v>
      </c>
      <c r="B6" s="22">
        <v>45851</v>
      </c>
      <c r="C6" s="13" t="s">
        <v>59</v>
      </c>
      <c r="D6" s="13" t="s">
        <v>67</v>
      </c>
      <c r="E6" s="13" t="s">
        <v>71</v>
      </c>
      <c r="F6" s="13">
        <v>13</v>
      </c>
      <c r="G6" s="23">
        <v>124.66</v>
      </c>
      <c r="H6" s="23">
        <v>1620.58</v>
      </c>
      <c r="I6" s="23">
        <v>1066.06</v>
      </c>
      <c r="J6" s="23">
        <v>554.52</v>
      </c>
      <c r="K6" s="13" t="s">
        <v>69</v>
      </c>
      <c r="L6" s="24" t="s">
        <v>62</v>
      </c>
    </row>
    <row r="7" spans="1:12" x14ac:dyDescent="0.3">
      <c r="A7" s="21" t="s">
        <v>72</v>
      </c>
      <c r="B7" s="22">
        <v>45806</v>
      </c>
      <c r="C7" s="13" t="s">
        <v>53</v>
      </c>
      <c r="D7" s="13" t="s">
        <v>67</v>
      </c>
      <c r="E7" s="13" t="s">
        <v>71</v>
      </c>
      <c r="F7" s="13">
        <v>10</v>
      </c>
      <c r="G7" s="23">
        <v>129.66</v>
      </c>
      <c r="H7" s="23">
        <v>1296.5999999999999</v>
      </c>
      <c r="I7" s="23">
        <v>701.29</v>
      </c>
      <c r="J7" s="23">
        <v>595.30999999999995</v>
      </c>
      <c r="K7" s="13" t="s">
        <v>69</v>
      </c>
      <c r="L7" s="24" t="s">
        <v>57</v>
      </c>
    </row>
    <row r="8" spans="1:12" x14ac:dyDescent="0.3">
      <c r="A8" s="21" t="s">
        <v>73</v>
      </c>
      <c r="B8" s="22">
        <v>45847</v>
      </c>
      <c r="C8" s="13" t="s">
        <v>53</v>
      </c>
      <c r="D8" s="13" t="s">
        <v>74</v>
      </c>
      <c r="E8" s="13" t="s">
        <v>75</v>
      </c>
      <c r="F8" s="13">
        <v>5</v>
      </c>
      <c r="G8" s="23">
        <v>34.61</v>
      </c>
      <c r="H8" s="23">
        <v>173.05</v>
      </c>
      <c r="I8" s="23">
        <v>133.29</v>
      </c>
      <c r="J8" s="23">
        <v>39.76</v>
      </c>
      <c r="K8" s="13" t="s">
        <v>76</v>
      </c>
      <c r="L8" s="24" t="s">
        <v>57</v>
      </c>
    </row>
    <row r="9" spans="1:12" x14ac:dyDescent="0.3">
      <c r="A9" s="21" t="s">
        <v>77</v>
      </c>
      <c r="B9" s="22">
        <v>45931</v>
      </c>
      <c r="C9" s="13" t="s">
        <v>53</v>
      </c>
      <c r="D9" s="13" t="s">
        <v>54</v>
      </c>
      <c r="E9" s="13" t="s">
        <v>78</v>
      </c>
      <c r="F9" s="13">
        <v>12</v>
      </c>
      <c r="G9" s="23">
        <v>8.84</v>
      </c>
      <c r="H9" s="23">
        <v>106.08</v>
      </c>
      <c r="I9" s="23">
        <v>75.78</v>
      </c>
      <c r="J9" s="23">
        <v>30.3</v>
      </c>
      <c r="K9" s="13" t="s">
        <v>61</v>
      </c>
      <c r="L9" s="24" t="s">
        <v>57</v>
      </c>
    </row>
    <row r="10" spans="1:12" x14ac:dyDescent="0.3">
      <c r="A10" s="21" t="s">
        <v>79</v>
      </c>
      <c r="B10" s="22">
        <v>46008</v>
      </c>
      <c r="C10" s="13" t="s">
        <v>53</v>
      </c>
      <c r="D10" s="13" t="s">
        <v>67</v>
      </c>
      <c r="E10" s="13" t="s">
        <v>80</v>
      </c>
      <c r="F10" s="13">
        <v>5</v>
      </c>
      <c r="G10" s="23">
        <v>178.8</v>
      </c>
      <c r="H10" s="23">
        <v>894</v>
      </c>
      <c r="I10" s="23">
        <v>636.53</v>
      </c>
      <c r="J10" s="23">
        <v>257.47000000000003</v>
      </c>
      <c r="K10" s="13" t="s">
        <v>76</v>
      </c>
      <c r="L10" s="24" t="s">
        <v>57</v>
      </c>
    </row>
    <row r="11" spans="1:12" x14ac:dyDescent="0.3">
      <c r="A11" s="21" t="s">
        <v>81</v>
      </c>
      <c r="B11" s="22">
        <v>45948</v>
      </c>
      <c r="C11" s="13" t="s">
        <v>53</v>
      </c>
      <c r="D11" s="13" t="s">
        <v>74</v>
      </c>
      <c r="E11" s="13" t="s">
        <v>82</v>
      </c>
      <c r="F11" s="13">
        <v>13</v>
      </c>
      <c r="G11" s="23">
        <v>621.21</v>
      </c>
      <c r="H11" s="23">
        <v>8075.73</v>
      </c>
      <c r="I11" s="23">
        <v>4848.04</v>
      </c>
      <c r="J11" s="23">
        <v>3227.69</v>
      </c>
      <c r="K11" s="13" t="s">
        <v>76</v>
      </c>
      <c r="L11" s="24" t="s">
        <v>57</v>
      </c>
    </row>
    <row r="12" spans="1:12" x14ac:dyDescent="0.3">
      <c r="A12" s="21" t="s">
        <v>83</v>
      </c>
      <c r="B12" s="22">
        <v>45793</v>
      </c>
      <c r="C12" s="13" t="s">
        <v>53</v>
      </c>
      <c r="D12" s="13" t="s">
        <v>54</v>
      </c>
      <c r="E12" s="13" t="s">
        <v>60</v>
      </c>
      <c r="F12" s="13">
        <v>7</v>
      </c>
      <c r="G12" s="23">
        <v>10.92</v>
      </c>
      <c r="H12" s="23">
        <v>76.44</v>
      </c>
      <c r="I12" s="23">
        <v>54.49</v>
      </c>
      <c r="J12" s="23">
        <v>21.95</v>
      </c>
      <c r="K12" s="13" t="s">
        <v>61</v>
      </c>
      <c r="L12" s="24" t="s">
        <v>57</v>
      </c>
    </row>
    <row r="13" spans="1:12" x14ac:dyDescent="0.3">
      <c r="A13" s="21" t="s">
        <v>84</v>
      </c>
      <c r="B13" s="22">
        <v>45843</v>
      </c>
      <c r="C13" s="13" t="s">
        <v>85</v>
      </c>
      <c r="D13" s="13" t="s">
        <v>54</v>
      </c>
      <c r="E13" s="13" t="s">
        <v>78</v>
      </c>
      <c r="F13" s="13">
        <v>12</v>
      </c>
      <c r="G13" s="23">
        <v>8.16</v>
      </c>
      <c r="H13" s="23">
        <v>97.92</v>
      </c>
      <c r="I13" s="23">
        <v>77.290000000000006</v>
      </c>
      <c r="J13" s="23">
        <v>20.63</v>
      </c>
      <c r="K13" s="13" t="s">
        <v>61</v>
      </c>
      <c r="L13" s="24" t="s">
        <v>57</v>
      </c>
    </row>
    <row r="14" spans="1:12" x14ac:dyDescent="0.3">
      <c r="A14" s="21" t="s">
        <v>86</v>
      </c>
      <c r="B14" s="22">
        <v>45979</v>
      </c>
      <c r="C14" s="13" t="s">
        <v>53</v>
      </c>
      <c r="D14" s="13" t="s">
        <v>54</v>
      </c>
      <c r="E14" s="13" t="s">
        <v>60</v>
      </c>
      <c r="F14" s="13">
        <v>2</v>
      </c>
      <c r="G14" s="23">
        <v>10.61</v>
      </c>
      <c r="H14" s="23">
        <v>21.22</v>
      </c>
      <c r="I14" s="23">
        <v>16.52</v>
      </c>
      <c r="J14" s="23">
        <v>4.7</v>
      </c>
      <c r="K14" s="13" t="s">
        <v>61</v>
      </c>
      <c r="L14" s="24" t="s">
        <v>62</v>
      </c>
    </row>
    <row r="15" spans="1:12" x14ac:dyDescent="0.3">
      <c r="A15" s="21" t="s">
        <v>87</v>
      </c>
      <c r="B15" s="22">
        <v>45941</v>
      </c>
      <c r="C15" s="13" t="s">
        <v>88</v>
      </c>
      <c r="D15" s="13" t="s">
        <v>67</v>
      </c>
      <c r="E15" s="13" t="s">
        <v>89</v>
      </c>
      <c r="F15" s="13">
        <v>7</v>
      </c>
      <c r="G15" s="23">
        <v>174.89</v>
      </c>
      <c r="H15" s="23">
        <v>1224.23</v>
      </c>
      <c r="I15" s="23">
        <v>1002.44</v>
      </c>
      <c r="J15" s="23">
        <v>221.79</v>
      </c>
      <c r="K15" s="13" t="s">
        <v>69</v>
      </c>
      <c r="L15" s="24" t="s">
        <v>62</v>
      </c>
    </row>
    <row r="16" spans="1:12" x14ac:dyDescent="0.3">
      <c r="A16" s="21" t="s">
        <v>90</v>
      </c>
      <c r="B16" s="22">
        <v>45715</v>
      </c>
      <c r="C16" s="13" t="s">
        <v>88</v>
      </c>
      <c r="D16" s="13" t="s">
        <v>54</v>
      </c>
      <c r="E16" s="13" t="s">
        <v>55</v>
      </c>
      <c r="F16" s="13">
        <v>11</v>
      </c>
      <c r="G16" s="23">
        <v>5.46</v>
      </c>
      <c r="H16" s="23">
        <v>60.06</v>
      </c>
      <c r="I16" s="23">
        <v>44.76</v>
      </c>
      <c r="J16" s="23">
        <v>15.3</v>
      </c>
      <c r="K16" s="13" t="s">
        <v>76</v>
      </c>
      <c r="L16" s="24" t="s">
        <v>65</v>
      </c>
    </row>
    <row r="17" spans="1:12" x14ac:dyDescent="0.3">
      <c r="A17" s="21" t="s">
        <v>91</v>
      </c>
      <c r="B17" s="22">
        <v>45914</v>
      </c>
      <c r="C17" s="13" t="s">
        <v>88</v>
      </c>
      <c r="D17" s="13" t="s">
        <v>74</v>
      </c>
      <c r="E17" s="13" t="s">
        <v>75</v>
      </c>
      <c r="F17" s="13">
        <v>1</v>
      </c>
      <c r="G17" s="23">
        <v>38.81</v>
      </c>
      <c r="H17" s="23">
        <v>38.81</v>
      </c>
      <c r="I17" s="23">
        <v>30.38</v>
      </c>
      <c r="J17" s="23">
        <v>8.43</v>
      </c>
      <c r="K17" s="13" t="s">
        <v>61</v>
      </c>
      <c r="L17" s="24" t="s">
        <v>62</v>
      </c>
    </row>
    <row r="18" spans="1:12" x14ac:dyDescent="0.3">
      <c r="A18" s="21" t="s">
        <v>92</v>
      </c>
      <c r="B18" s="22">
        <v>45849</v>
      </c>
      <c r="C18" s="13" t="s">
        <v>53</v>
      </c>
      <c r="D18" s="13" t="s">
        <v>74</v>
      </c>
      <c r="E18" s="13" t="s">
        <v>93</v>
      </c>
      <c r="F18" s="13">
        <v>14</v>
      </c>
      <c r="G18" s="23">
        <v>227.34</v>
      </c>
      <c r="H18" s="23">
        <v>3182.76</v>
      </c>
      <c r="I18" s="23">
        <v>2236.5</v>
      </c>
      <c r="J18" s="23">
        <v>946.26</v>
      </c>
      <c r="K18" s="12"/>
      <c r="L18" s="24" t="s">
        <v>62</v>
      </c>
    </row>
    <row r="19" spans="1:12" x14ac:dyDescent="0.3">
      <c r="A19" s="21" t="s">
        <v>94</v>
      </c>
      <c r="B19" s="22">
        <v>45815</v>
      </c>
      <c r="C19" s="13" t="s">
        <v>88</v>
      </c>
      <c r="D19" s="13" t="s">
        <v>54</v>
      </c>
      <c r="E19" s="13" t="s">
        <v>55</v>
      </c>
      <c r="F19" s="13">
        <v>10</v>
      </c>
      <c r="G19" s="23">
        <v>4.79</v>
      </c>
      <c r="H19" s="23">
        <v>47.9</v>
      </c>
      <c r="I19" s="23">
        <v>25.19</v>
      </c>
      <c r="J19" s="23">
        <v>22.71</v>
      </c>
      <c r="K19" s="13" t="s">
        <v>61</v>
      </c>
      <c r="L19" s="24" t="s">
        <v>57</v>
      </c>
    </row>
    <row r="20" spans="1:12" x14ac:dyDescent="0.3">
      <c r="A20" s="21" t="s">
        <v>95</v>
      </c>
      <c r="B20" s="22">
        <v>45723</v>
      </c>
      <c r="C20" s="13" t="s">
        <v>53</v>
      </c>
      <c r="D20" s="13" t="s">
        <v>74</v>
      </c>
      <c r="E20" s="13" t="s">
        <v>82</v>
      </c>
      <c r="F20" s="13">
        <v>2</v>
      </c>
      <c r="G20" s="23">
        <v>686.18</v>
      </c>
      <c r="H20" s="23">
        <v>1372.36</v>
      </c>
      <c r="I20" s="23">
        <v>1049.5899999999999</v>
      </c>
      <c r="J20" s="23">
        <v>322.77</v>
      </c>
      <c r="K20" s="13" t="s">
        <v>64</v>
      </c>
      <c r="L20" s="24" t="s">
        <v>62</v>
      </c>
    </row>
    <row r="21" spans="1:12" x14ac:dyDescent="0.3">
      <c r="A21" s="21" t="s">
        <v>96</v>
      </c>
      <c r="B21" s="22">
        <v>45934</v>
      </c>
      <c r="C21" s="13" t="s">
        <v>53</v>
      </c>
      <c r="D21" s="13" t="s">
        <v>74</v>
      </c>
      <c r="E21" s="13" t="s">
        <v>93</v>
      </c>
      <c r="F21" s="13">
        <v>9</v>
      </c>
      <c r="G21" s="23">
        <v>239.66</v>
      </c>
      <c r="H21" s="23">
        <v>2156.94</v>
      </c>
      <c r="I21" s="23">
        <v>1395.41</v>
      </c>
      <c r="J21" s="23">
        <v>761.53</v>
      </c>
      <c r="K21" s="13" t="s">
        <v>61</v>
      </c>
      <c r="L21" s="24" t="s">
        <v>62</v>
      </c>
    </row>
    <row r="22" spans="1:12" x14ac:dyDescent="0.3">
      <c r="A22" s="21" t="s">
        <v>97</v>
      </c>
      <c r="B22" s="22">
        <v>45719</v>
      </c>
      <c r="C22" s="13" t="s">
        <v>85</v>
      </c>
      <c r="D22" s="13" t="s">
        <v>67</v>
      </c>
      <c r="E22" s="13" t="s">
        <v>80</v>
      </c>
      <c r="F22" s="13">
        <v>11</v>
      </c>
      <c r="G22" s="23">
        <v>165.76</v>
      </c>
      <c r="H22" s="23">
        <v>1823.36</v>
      </c>
      <c r="I22" s="23">
        <v>1187.79</v>
      </c>
      <c r="J22" s="23">
        <v>635.57000000000005</v>
      </c>
      <c r="K22" s="13" t="s">
        <v>61</v>
      </c>
      <c r="L22" s="24" t="s">
        <v>57</v>
      </c>
    </row>
    <row r="23" spans="1:12" x14ac:dyDescent="0.3">
      <c r="A23" s="21" t="s">
        <v>98</v>
      </c>
      <c r="B23" s="22">
        <v>45661</v>
      </c>
      <c r="C23" s="13" t="s">
        <v>53</v>
      </c>
      <c r="D23" s="13" t="s">
        <v>74</v>
      </c>
      <c r="E23" s="13" t="s">
        <v>93</v>
      </c>
      <c r="F23" s="13">
        <v>1</v>
      </c>
      <c r="G23" s="23">
        <v>224.66</v>
      </c>
      <c r="H23" s="23">
        <v>224.66</v>
      </c>
      <c r="I23" s="23">
        <v>132.33000000000001</v>
      </c>
      <c r="J23" s="23">
        <v>92.33</v>
      </c>
      <c r="K23" s="13" t="s">
        <v>69</v>
      </c>
      <c r="L23" s="24" t="s">
        <v>62</v>
      </c>
    </row>
    <row r="24" spans="1:12" x14ac:dyDescent="0.3">
      <c r="A24" s="21" t="s">
        <v>99</v>
      </c>
      <c r="B24" s="22">
        <v>45694</v>
      </c>
      <c r="C24" s="13" t="s">
        <v>88</v>
      </c>
      <c r="D24" s="13" t="s">
        <v>54</v>
      </c>
      <c r="E24" s="13" t="s">
        <v>55</v>
      </c>
      <c r="F24" s="13">
        <v>4</v>
      </c>
      <c r="G24" s="23">
        <v>4.4800000000000004</v>
      </c>
      <c r="H24" s="23">
        <v>17.920000000000002</v>
      </c>
      <c r="I24" s="23">
        <v>9.49</v>
      </c>
      <c r="J24" s="23">
        <v>8.43</v>
      </c>
      <c r="K24" s="13" t="s">
        <v>56</v>
      </c>
      <c r="L24" s="24" t="s">
        <v>57</v>
      </c>
    </row>
    <row r="25" spans="1:12" x14ac:dyDescent="0.3">
      <c r="A25" s="21" t="s">
        <v>100</v>
      </c>
      <c r="B25" s="22">
        <v>45782</v>
      </c>
      <c r="C25" s="13" t="s">
        <v>85</v>
      </c>
      <c r="D25" s="13" t="s">
        <v>67</v>
      </c>
      <c r="E25" s="13" t="s">
        <v>80</v>
      </c>
      <c r="F25" s="12"/>
      <c r="G25" s="23">
        <v>161.51</v>
      </c>
      <c r="H25" s="23">
        <v>646.04</v>
      </c>
      <c r="I25" s="23">
        <v>476.14</v>
      </c>
      <c r="J25" s="23">
        <v>169.9</v>
      </c>
      <c r="K25" s="13" t="s">
        <v>64</v>
      </c>
      <c r="L25" s="24" t="s">
        <v>65</v>
      </c>
    </row>
    <row r="26" spans="1:12" x14ac:dyDescent="0.3">
      <c r="A26" s="21" t="s">
        <v>101</v>
      </c>
      <c r="B26" s="22">
        <v>45897</v>
      </c>
      <c r="C26" s="13" t="s">
        <v>85</v>
      </c>
      <c r="D26" s="13" t="s">
        <v>74</v>
      </c>
      <c r="E26" s="13" t="s">
        <v>82</v>
      </c>
      <c r="F26" s="13">
        <v>2</v>
      </c>
      <c r="G26" s="23">
        <v>674.8</v>
      </c>
      <c r="H26" s="23">
        <v>1349.6</v>
      </c>
      <c r="I26" s="23">
        <v>845.24</v>
      </c>
      <c r="J26" s="23">
        <v>504.36</v>
      </c>
      <c r="K26" s="13" t="s">
        <v>69</v>
      </c>
      <c r="L26" s="24" t="s">
        <v>62</v>
      </c>
    </row>
    <row r="27" spans="1:12" x14ac:dyDescent="0.3">
      <c r="A27" s="21" t="s">
        <v>102</v>
      </c>
      <c r="B27" s="22">
        <v>45785</v>
      </c>
      <c r="C27" s="13" t="s">
        <v>59</v>
      </c>
      <c r="D27" s="13" t="s">
        <v>54</v>
      </c>
      <c r="E27" s="13" t="s">
        <v>55</v>
      </c>
      <c r="F27" s="13">
        <v>1</v>
      </c>
      <c r="G27" s="23">
        <v>4.88</v>
      </c>
      <c r="H27" s="23">
        <v>4.88</v>
      </c>
      <c r="I27" s="23">
        <v>3.03</v>
      </c>
      <c r="J27" s="23">
        <v>1.85</v>
      </c>
      <c r="K27" s="13" t="s">
        <v>61</v>
      </c>
      <c r="L27" s="24" t="s">
        <v>57</v>
      </c>
    </row>
    <row r="28" spans="1:12" x14ac:dyDescent="0.3">
      <c r="A28" s="21" t="s">
        <v>103</v>
      </c>
      <c r="B28" s="22">
        <v>45696</v>
      </c>
      <c r="C28" s="13" t="s">
        <v>53</v>
      </c>
      <c r="D28" s="13" t="s">
        <v>54</v>
      </c>
      <c r="E28" s="13" t="s">
        <v>60</v>
      </c>
      <c r="F28" s="13">
        <v>3</v>
      </c>
      <c r="G28" s="23">
        <v>9.81</v>
      </c>
      <c r="H28" s="23">
        <v>29.43</v>
      </c>
      <c r="I28" s="23">
        <v>17.760000000000002</v>
      </c>
      <c r="J28" s="23">
        <v>11.67</v>
      </c>
      <c r="K28" s="13" t="s">
        <v>64</v>
      </c>
      <c r="L28" s="24" t="s">
        <v>62</v>
      </c>
    </row>
    <row r="29" spans="1:12" x14ac:dyDescent="0.3">
      <c r="A29" s="21" t="s">
        <v>104</v>
      </c>
      <c r="B29" s="22">
        <v>45779</v>
      </c>
      <c r="C29" s="13" t="s">
        <v>59</v>
      </c>
      <c r="D29" s="13" t="s">
        <v>74</v>
      </c>
      <c r="E29" s="13" t="s">
        <v>82</v>
      </c>
      <c r="F29" s="13">
        <v>11</v>
      </c>
      <c r="G29" s="23">
        <v>727.89</v>
      </c>
      <c r="H29" s="23">
        <v>8006.79</v>
      </c>
      <c r="I29" s="23">
        <v>6171.7</v>
      </c>
      <c r="J29" s="23">
        <v>1835.09</v>
      </c>
      <c r="K29" s="13" t="s">
        <v>61</v>
      </c>
      <c r="L29" s="24" t="s">
        <v>65</v>
      </c>
    </row>
    <row r="30" spans="1:12" x14ac:dyDescent="0.3">
      <c r="A30" s="21" t="s">
        <v>105</v>
      </c>
      <c r="B30" s="22">
        <v>45852</v>
      </c>
      <c r="C30" s="13" t="s">
        <v>53</v>
      </c>
      <c r="D30" s="13" t="s">
        <v>67</v>
      </c>
      <c r="E30" s="13" t="s">
        <v>80</v>
      </c>
      <c r="F30" s="13">
        <v>4</v>
      </c>
      <c r="G30" s="23">
        <v>174</v>
      </c>
      <c r="H30" s="23">
        <v>696</v>
      </c>
      <c r="I30" s="23">
        <v>550.35</v>
      </c>
      <c r="J30" s="23">
        <v>145.65</v>
      </c>
      <c r="K30" s="13" t="s">
        <v>69</v>
      </c>
      <c r="L30" s="24" t="s">
        <v>65</v>
      </c>
    </row>
    <row r="31" spans="1:12" x14ac:dyDescent="0.3">
      <c r="A31" s="21" t="s">
        <v>106</v>
      </c>
      <c r="B31" s="22">
        <v>45737</v>
      </c>
      <c r="C31" s="13" t="s">
        <v>85</v>
      </c>
      <c r="D31" s="13" t="s">
        <v>67</v>
      </c>
      <c r="E31" s="13" t="s">
        <v>80</v>
      </c>
      <c r="F31" s="13">
        <v>5</v>
      </c>
      <c r="G31" s="23">
        <v>157.04</v>
      </c>
      <c r="H31" s="23">
        <v>785.2</v>
      </c>
      <c r="I31" s="23">
        <v>633.80999999999995</v>
      </c>
      <c r="J31" s="23">
        <v>151.38999999999999</v>
      </c>
      <c r="K31" s="13" t="s">
        <v>61</v>
      </c>
      <c r="L31" s="24" t="s">
        <v>65</v>
      </c>
    </row>
    <row r="32" spans="1:12" x14ac:dyDescent="0.3">
      <c r="A32" s="21" t="s">
        <v>107</v>
      </c>
      <c r="B32" s="22">
        <v>45687</v>
      </c>
      <c r="C32" s="13" t="s">
        <v>88</v>
      </c>
      <c r="D32" s="13" t="s">
        <v>74</v>
      </c>
      <c r="E32" s="13" t="s">
        <v>82</v>
      </c>
      <c r="F32" s="13">
        <v>10</v>
      </c>
      <c r="G32" s="23">
        <v>686.77</v>
      </c>
      <c r="H32" s="23">
        <v>6867.7</v>
      </c>
      <c r="I32" s="23">
        <v>3696.8</v>
      </c>
      <c r="J32" s="23">
        <v>3170.9</v>
      </c>
      <c r="K32" s="13" t="s">
        <v>69</v>
      </c>
      <c r="L32" s="24" t="s">
        <v>62</v>
      </c>
    </row>
    <row r="33" spans="1:12" x14ac:dyDescent="0.3">
      <c r="A33" s="21" t="s">
        <v>108</v>
      </c>
      <c r="B33" s="22">
        <v>45693</v>
      </c>
      <c r="C33" s="13" t="s">
        <v>53</v>
      </c>
      <c r="D33" s="13" t="s">
        <v>67</v>
      </c>
      <c r="E33" s="13" t="s">
        <v>68</v>
      </c>
      <c r="F33" s="13">
        <v>1</v>
      </c>
      <c r="G33" s="23">
        <v>105.51</v>
      </c>
      <c r="H33" s="23">
        <v>105.51</v>
      </c>
      <c r="I33" s="23">
        <v>57.4</v>
      </c>
      <c r="J33" s="23">
        <v>48.11</v>
      </c>
      <c r="K33" s="13" t="s">
        <v>56</v>
      </c>
      <c r="L33" s="24" t="s">
        <v>57</v>
      </c>
    </row>
    <row r="34" spans="1:12" x14ac:dyDescent="0.3">
      <c r="A34" s="21" t="s">
        <v>109</v>
      </c>
      <c r="B34" s="22">
        <v>45954</v>
      </c>
      <c r="C34" s="13" t="s">
        <v>53</v>
      </c>
      <c r="D34" s="13" t="s">
        <v>54</v>
      </c>
      <c r="E34" s="13" t="s">
        <v>110</v>
      </c>
      <c r="F34" s="13">
        <v>7</v>
      </c>
      <c r="G34" s="23">
        <v>10.91</v>
      </c>
      <c r="H34" s="23">
        <v>76.37</v>
      </c>
      <c r="I34" s="23">
        <v>60.11</v>
      </c>
      <c r="J34" s="23">
        <v>16.260000000000002</v>
      </c>
      <c r="K34" s="13" t="s">
        <v>56</v>
      </c>
      <c r="L34" s="24" t="s">
        <v>57</v>
      </c>
    </row>
    <row r="35" spans="1:12" x14ac:dyDescent="0.3">
      <c r="A35" s="21" t="s">
        <v>111</v>
      </c>
      <c r="B35" s="22">
        <v>45791</v>
      </c>
      <c r="C35" s="13" t="s">
        <v>88</v>
      </c>
      <c r="D35" s="13" t="s">
        <v>54</v>
      </c>
      <c r="E35" s="13" t="s">
        <v>55</v>
      </c>
      <c r="F35" s="13">
        <v>7</v>
      </c>
      <c r="G35" s="23">
        <v>5.19</v>
      </c>
      <c r="H35" s="23">
        <v>36.33</v>
      </c>
      <c r="I35" s="23">
        <v>25.05</v>
      </c>
      <c r="J35" s="23">
        <v>11.28</v>
      </c>
      <c r="K35" s="13" t="s">
        <v>61</v>
      </c>
      <c r="L35" s="24" t="s">
        <v>62</v>
      </c>
    </row>
    <row r="36" spans="1:12" x14ac:dyDescent="0.3">
      <c r="A36" s="21" t="s">
        <v>112</v>
      </c>
      <c r="B36" s="22">
        <v>45892</v>
      </c>
      <c r="C36" s="13" t="s">
        <v>88</v>
      </c>
      <c r="D36" s="13" t="s">
        <v>54</v>
      </c>
      <c r="E36" s="13" t="s">
        <v>78</v>
      </c>
      <c r="F36" s="13">
        <v>4</v>
      </c>
      <c r="G36" s="23">
        <v>7.55</v>
      </c>
      <c r="H36" s="23">
        <v>30.2</v>
      </c>
      <c r="I36" s="23">
        <v>16.89</v>
      </c>
      <c r="J36" s="23">
        <v>13.31</v>
      </c>
      <c r="K36" s="13" t="s">
        <v>76</v>
      </c>
      <c r="L36" s="24" t="s">
        <v>57</v>
      </c>
    </row>
    <row r="37" spans="1:12" x14ac:dyDescent="0.3">
      <c r="A37" s="21" t="s">
        <v>113</v>
      </c>
      <c r="B37" s="22">
        <v>45933</v>
      </c>
      <c r="C37" s="13" t="s">
        <v>59</v>
      </c>
      <c r="D37" s="13" t="s">
        <v>74</v>
      </c>
      <c r="E37" s="13" t="s">
        <v>75</v>
      </c>
      <c r="F37" s="13">
        <v>10</v>
      </c>
      <c r="G37" s="23">
        <v>39.19</v>
      </c>
      <c r="H37" s="23">
        <v>391.9</v>
      </c>
      <c r="I37" s="23">
        <v>320.89999999999998</v>
      </c>
      <c r="J37" s="23">
        <v>71</v>
      </c>
      <c r="K37" s="13" t="s">
        <v>61</v>
      </c>
      <c r="L37" s="24" t="s">
        <v>62</v>
      </c>
    </row>
    <row r="38" spans="1:12" x14ac:dyDescent="0.3">
      <c r="A38" s="21" t="s">
        <v>114</v>
      </c>
      <c r="B38" s="22">
        <v>45847</v>
      </c>
      <c r="C38" s="13" t="s">
        <v>53</v>
      </c>
      <c r="D38" s="13" t="s">
        <v>67</v>
      </c>
      <c r="E38" s="13" t="s">
        <v>68</v>
      </c>
      <c r="F38" s="13">
        <v>15</v>
      </c>
      <c r="G38" s="23">
        <v>91.56</v>
      </c>
      <c r="H38" s="23">
        <v>1373.4</v>
      </c>
      <c r="I38" s="23">
        <v>742.51</v>
      </c>
      <c r="J38" s="23">
        <v>630.89</v>
      </c>
      <c r="K38" s="13" t="s">
        <v>76</v>
      </c>
      <c r="L38" s="24" t="s">
        <v>57</v>
      </c>
    </row>
    <row r="39" spans="1:12" x14ac:dyDescent="0.3">
      <c r="A39" s="21" t="s">
        <v>115</v>
      </c>
      <c r="B39" s="22">
        <v>45999</v>
      </c>
      <c r="C39" s="13" t="s">
        <v>59</v>
      </c>
      <c r="D39" s="13" t="s">
        <v>67</v>
      </c>
      <c r="E39" s="13" t="s">
        <v>71</v>
      </c>
      <c r="F39" s="13">
        <v>10</v>
      </c>
      <c r="G39" s="23">
        <v>156.26</v>
      </c>
      <c r="H39" s="23">
        <v>1562.6</v>
      </c>
      <c r="I39" s="23">
        <v>1190.9000000000001</v>
      </c>
      <c r="J39" s="23">
        <v>371.7</v>
      </c>
      <c r="K39" s="13" t="s">
        <v>56</v>
      </c>
      <c r="L39" s="24" t="s">
        <v>65</v>
      </c>
    </row>
    <row r="40" spans="1:12" x14ac:dyDescent="0.3">
      <c r="A40" s="21" t="s">
        <v>116</v>
      </c>
      <c r="B40" s="22">
        <v>45941</v>
      </c>
      <c r="C40" s="13" t="s">
        <v>59</v>
      </c>
      <c r="D40" s="13" t="s">
        <v>54</v>
      </c>
      <c r="E40" s="13" t="s">
        <v>55</v>
      </c>
      <c r="F40" s="13">
        <v>15</v>
      </c>
      <c r="G40" s="23">
        <v>4.5599999999999996</v>
      </c>
      <c r="H40" s="23">
        <v>68.400000000000006</v>
      </c>
      <c r="I40" s="23">
        <v>37.94</v>
      </c>
      <c r="J40" s="23">
        <v>30.46</v>
      </c>
      <c r="K40" s="13" t="s">
        <v>61</v>
      </c>
      <c r="L40" s="24" t="s">
        <v>65</v>
      </c>
    </row>
    <row r="41" spans="1:12" x14ac:dyDescent="0.3">
      <c r="A41" s="21" t="s">
        <v>117</v>
      </c>
      <c r="B41" s="22">
        <v>45916</v>
      </c>
      <c r="C41" s="13" t="s">
        <v>88</v>
      </c>
      <c r="D41" s="13" t="s">
        <v>67</v>
      </c>
      <c r="E41" s="13" t="s">
        <v>68</v>
      </c>
      <c r="F41" s="13">
        <v>12</v>
      </c>
      <c r="G41" s="23">
        <v>91.42</v>
      </c>
      <c r="H41" s="23">
        <v>1097.04</v>
      </c>
      <c r="I41" s="23">
        <v>796.72</v>
      </c>
      <c r="J41" s="23">
        <v>300.32</v>
      </c>
      <c r="K41" s="13" t="s">
        <v>64</v>
      </c>
      <c r="L41" s="24" t="s">
        <v>65</v>
      </c>
    </row>
    <row r="42" spans="1:12" x14ac:dyDescent="0.3">
      <c r="A42" s="21" t="s">
        <v>118</v>
      </c>
      <c r="B42" s="22">
        <v>45828</v>
      </c>
      <c r="C42" s="13" t="s">
        <v>59</v>
      </c>
      <c r="D42" s="13" t="s">
        <v>74</v>
      </c>
      <c r="E42" s="13" t="s">
        <v>82</v>
      </c>
      <c r="F42" s="13">
        <v>11</v>
      </c>
      <c r="G42" s="23">
        <v>638.08000000000004</v>
      </c>
      <c r="H42" s="23">
        <v>7018.88</v>
      </c>
      <c r="I42" s="23">
        <v>4232.41</v>
      </c>
      <c r="J42" s="23">
        <v>2786.47</v>
      </c>
      <c r="K42" s="13" t="s">
        <v>61</v>
      </c>
      <c r="L42" s="24" t="s">
        <v>62</v>
      </c>
    </row>
    <row r="43" spans="1:12" x14ac:dyDescent="0.3">
      <c r="A43" s="21" t="s">
        <v>119</v>
      </c>
      <c r="B43" s="22">
        <v>45715</v>
      </c>
      <c r="C43" s="13" t="s">
        <v>59</v>
      </c>
      <c r="D43" s="13" t="s">
        <v>67</v>
      </c>
      <c r="E43" s="13" t="s">
        <v>68</v>
      </c>
      <c r="F43" s="13">
        <v>12</v>
      </c>
      <c r="G43" s="23">
        <v>93.67</v>
      </c>
      <c r="H43" s="23">
        <v>1124.04</v>
      </c>
      <c r="I43" s="23">
        <v>822.46</v>
      </c>
      <c r="J43" s="23">
        <v>301.58</v>
      </c>
      <c r="K43" s="13" t="s">
        <v>69</v>
      </c>
      <c r="L43" s="24" t="s">
        <v>62</v>
      </c>
    </row>
    <row r="44" spans="1:12" x14ac:dyDescent="0.3">
      <c r="A44" s="21" t="s">
        <v>120</v>
      </c>
      <c r="B44" s="22">
        <v>45723</v>
      </c>
      <c r="C44" s="13" t="s">
        <v>85</v>
      </c>
      <c r="D44" s="13" t="s">
        <v>74</v>
      </c>
      <c r="E44" s="13" t="s">
        <v>82</v>
      </c>
      <c r="F44" s="13">
        <v>14</v>
      </c>
      <c r="G44" s="23">
        <v>629.6</v>
      </c>
      <c r="H44" s="23">
        <v>8814.4</v>
      </c>
      <c r="I44" s="23">
        <v>6044.54</v>
      </c>
      <c r="J44" s="23">
        <v>2769.86</v>
      </c>
      <c r="K44" s="13" t="s">
        <v>69</v>
      </c>
      <c r="L44" s="24" t="s">
        <v>65</v>
      </c>
    </row>
    <row r="45" spans="1:12" x14ac:dyDescent="0.3">
      <c r="A45" s="21" t="s">
        <v>121</v>
      </c>
      <c r="B45" s="22">
        <v>45839</v>
      </c>
      <c r="C45" s="13" t="s">
        <v>59</v>
      </c>
      <c r="D45" s="13" t="s">
        <v>67</v>
      </c>
      <c r="E45" s="13" t="s">
        <v>89</v>
      </c>
      <c r="F45" s="13">
        <v>15</v>
      </c>
      <c r="G45" s="23">
        <v>173.86</v>
      </c>
      <c r="H45" s="23">
        <v>2607.9</v>
      </c>
      <c r="I45" s="23">
        <v>1889.74</v>
      </c>
      <c r="J45" s="23">
        <v>718.16</v>
      </c>
      <c r="K45" s="13" t="s">
        <v>56</v>
      </c>
      <c r="L45" s="24" t="s">
        <v>65</v>
      </c>
    </row>
    <row r="46" spans="1:12" x14ac:dyDescent="0.3">
      <c r="A46" s="21" t="s">
        <v>122</v>
      </c>
      <c r="B46" s="22">
        <v>45869</v>
      </c>
      <c r="C46" s="13" t="s">
        <v>53</v>
      </c>
      <c r="D46" s="13" t="s">
        <v>54</v>
      </c>
      <c r="E46" s="13" t="s">
        <v>110</v>
      </c>
      <c r="F46" s="13">
        <v>15</v>
      </c>
      <c r="G46" s="23">
        <v>13.24</v>
      </c>
      <c r="H46" s="23">
        <v>198.6</v>
      </c>
      <c r="I46" s="23">
        <v>154.79</v>
      </c>
      <c r="J46" s="23">
        <v>43.81</v>
      </c>
      <c r="K46" s="13" t="s">
        <v>69</v>
      </c>
      <c r="L46" s="24" t="s">
        <v>57</v>
      </c>
    </row>
    <row r="47" spans="1:12" x14ac:dyDescent="0.3">
      <c r="A47" s="21" t="s">
        <v>123</v>
      </c>
      <c r="B47" s="22">
        <v>45794</v>
      </c>
      <c r="C47" s="13" t="s">
        <v>53</v>
      </c>
      <c r="D47" s="13" t="s">
        <v>54</v>
      </c>
      <c r="E47" s="13" t="s">
        <v>78</v>
      </c>
      <c r="F47" s="13">
        <v>13</v>
      </c>
      <c r="G47" s="23">
        <v>8.83</v>
      </c>
      <c r="H47" s="23">
        <v>114.79</v>
      </c>
      <c r="I47" s="23">
        <v>87.32</v>
      </c>
      <c r="J47" s="23">
        <v>27.47</v>
      </c>
      <c r="K47" s="13" t="s">
        <v>61</v>
      </c>
      <c r="L47" s="24" t="s">
        <v>62</v>
      </c>
    </row>
    <row r="48" spans="1:12" x14ac:dyDescent="0.3">
      <c r="A48" s="21" t="s">
        <v>124</v>
      </c>
      <c r="B48" s="22">
        <v>45893</v>
      </c>
      <c r="C48" s="13" t="s">
        <v>53</v>
      </c>
      <c r="D48" s="13" t="s">
        <v>74</v>
      </c>
      <c r="E48" s="13" t="s">
        <v>75</v>
      </c>
      <c r="F48" s="13">
        <v>14</v>
      </c>
      <c r="G48" s="23">
        <v>31.13</v>
      </c>
      <c r="H48" s="23">
        <v>435.82</v>
      </c>
      <c r="I48" s="23">
        <v>288.17</v>
      </c>
      <c r="J48" s="23">
        <v>147.65</v>
      </c>
      <c r="K48" s="13" t="s">
        <v>76</v>
      </c>
      <c r="L48" s="24" t="s">
        <v>65</v>
      </c>
    </row>
    <row r="49" spans="1:12" x14ac:dyDescent="0.3">
      <c r="A49" s="21" t="s">
        <v>125</v>
      </c>
      <c r="B49" s="22">
        <v>45693</v>
      </c>
      <c r="C49" s="13" t="s">
        <v>88</v>
      </c>
      <c r="D49" s="13" t="s">
        <v>74</v>
      </c>
      <c r="E49" s="13" t="s">
        <v>126</v>
      </c>
      <c r="F49" s="13">
        <v>1</v>
      </c>
      <c r="G49" s="23">
        <v>46.73</v>
      </c>
      <c r="H49" s="23">
        <v>46.73</v>
      </c>
      <c r="I49" s="23">
        <v>29.89</v>
      </c>
      <c r="J49" s="23">
        <v>16.84</v>
      </c>
      <c r="K49" s="13" t="s">
        <v>76</v>
      </c>
      <c r="L49" s="24" t="s">
        <v>65</v>
      </c>
    </row>
    <row r="50" spans="1:12" x14ac:dyDescent="0.3">
      <c r="A50" s="21" t="s">
        <v>127</v>
      </c>
      <c r="B50" s="22">
        <v>45717</v>
      </c>
      <c r="C50" s="13" t="s">
        <v>59</v>
      </c>
      <c r="D50" s="13" t="s">
        <v>54</v>
      </c>
      <c r="E50" s="13" t="s">
        <v>60</v>
      </c>
      <c r="F50" s="13">
        <v>11</v>
      </c>
      <c r="G50" s="23">
        <v>11.15</v>
      </c>
      <c r="H50" s="23">
        <v>122.65</v>
      </c>
      <c r="I50" s="23">
        <v>83.51</v>
      </c>
      <c r="J50" s="23">
        <v>39.14</v>
      </c>
      <c r="K50" s="13" t="s">
        <v>76</v>
      </c>
      <c r="L50" s="24" t="s">
        <v>57</v>
      </c>
    </row>
    <row r="51" spans="1:12" x14ac:dyDescent="0.3">
      <c r="A51" s="21" t="s">
        <v>128</v>
      </c>
      <c r="B51" s="22">
        <v>45881</v>
      </c>
      <c r="C51" s="13" t="s">
        <v>88</v>
      </c>
      <c r="D51" s="13" t="s">
        <v>54</v>
      </c>
      <c r="E51" s="13" t="s">
        <v>78</v>
      </c>
      <c r="F51" s="13">
        <v>1</v>
      </c>
      <c r="G51" s="23">
        <v>7.25</v>
      </c>
      <c r="H51" s="23">
        <v>7.25</v>
      </c>
      <c r="I51" s="23">
        <v>4.72</v>
      </c>
      <c r="J51" s="23">
        <v>2.5299999999999998</v>
      </c>
      <c r="K51" s="13" t="s">
        <v>56</v>
      </c>
      <c r="L51" s="24" t="s">
        <v>62</v>
      </c>
    </row>
    <row r="52" spans="1:12" x14ac:dyDescent="0.3">
      <c r="A52" s="21" t="s">
        <v>129</v>
      </c>
      <c r="B52" s="22">
        <v>45658</v>
      </c>
      <c r="C52" s="13" t="s">
        <v>85</v>
      </c>
      <c r="D52" s="13" t="s">
        <v>74</v>
      </c>
      <c r="E52" s="13" t="s">
        <v>75</v>
      </c>
      <c r="F52" s="13">
        <v>15</v>
      </c>
      <c r="G52" s="23">
        <v>35.64</v>
      </c>
      <c r="H52" s="23">
        <v>534.6</v>
      </c>
      <c r="I52" s="23">
        <v>318.83999999999997</v>
      </c>
      <c r="J52" s="23">
        <v>215.76</v>
      </c>
      <c r="K52" s="13" t="s">
        <v>56</v>
      </c>
      <c r="L52" s="24" t="s">
        <v>62</v>
      </c>
    </row>
    <row r="53" spans="1:12" x14ac:dyDescent="0.3">
      <c r="A53" s="21" t="s">
        <v>130</v>
      </c>
      <c r="B53" s="22">
        <v>45977</v>
      </c>
      <c r="C53" s="13" t="s">
        <v>88</v>
      </c>
      <c r="D53" s="13" t="s">
        <v>54</v>
      </c>
      <c r="E53" s="13" t="s">
        <v>110</v>
      </c>
      <c r="F53" s="13">
        <v>6</v>
      </c>
      <c r="G53" s="23">
        <v>11.8</v>
      </c>
      <c r="H53" s="23">
        <v>70.8</v>
      </c>
      <c r="I53" s="23">
        <v>56.97</v>
      </c>
      <c r="J53" s="23">
        <v>13.83</v>
      </c>
      <c r="K53" s="13" t="s">
        <v>76</v>
      </c>
      <c r="L53" s="24" t="s">
        <v>62</v>
      </c>
    </row>
    <row r="54" spans="1:12" x14ac:dyDescent="0.3">
      <c r="A54" s="21" t="s">
        <v>131</v>
      </c>
      <c r="B54" s="22">
        <v>46014</v>
      </c>
      <c r="C54" s="13" t="s">
        <v>85</v>
      </c>
      <c r="D54" s="13" t="s">
        <v>74</v>
      </c>
      <c r="E54" s="13" t="s">
        <v>93</v>
      </c>
      <c r="F54" s="13">
        <v>9</v>
      </c>
      <c r="G54" s="23">
        <v>209.93</v>
      </c>
      <c r="H54" s="23">
        <v>1889.37</v>
      </c>
      <c r="I54" s="23">
        <v>1213.95</v>
      </c>
      <c r="J54" s="23">
        <v>675.42</v>
      </c>
      <c r="K54" s="13" t="s">
        <v>76</v>
      </c>
      <c r="L54" s="24" t="s">
        <v>62</v>
      </c>
    </row>
    <row r="55" spans="1:12" x14ac:dyDescent="0.3">
      <c r="A55" s="21" t="s">
        <v>132</v>
      </c>
      <c r="B55" s="22">
        <v>45973</v>
      </c>
      <c r="C55" s="13" t="s">
        <v>53</v>
      </c>
      <c r="D55" s="13" t="s">
        <v>74</v>
      </c>
      <c r="E55" s="13" t="s">
        <v>126</v>
      </c>
      <c r="F55" s="13">
        <v>7</v>
      </c>
      <c r="G55" s="23">
        <v>46.78</v>
      </c>
      <c r="H55" s="23">
        <v>327.45999999999998</v>
      </c>
      <c r="I55" s="23">
        <v>207.53</v>
      </c>
      <c r="J55" s="23">
        <v>119.93</v>
      </c>
      <c r="K55" s="13" t="s">
        <v>56</v>
      </c>
      <c r="L55" s="24" t="s">
        <v>65</v>
      </c>
    </row>
    <row r="56" spans="1:12" x14ac:dyDescent="0.3">
      <c r="A56" s="21" t="s">
        <v>133</v>
      </c>
      <c r="B56" s="22">
        <v>45896</v>
      </c>
      <c r="C56" s="13" t="s">
        <v>88</v>
      </c>
      <c r="D56" s="13" t="s">
        <v>67</v>
      </c>
      <c r="E56" s="13" t="s">
        <v>89</v>
      </c>
      <c r="F56" s="13">
        <v>5</v>
      </c>
      <c r="G56" s="23">
        <v>170.79</v>
      </c>
      <c r="H56" s="23">
        <v>853.95</v>
      </c>
      <c r="I56" s="23">
        <v>554.17999999999995</v>
      </c>
      <c r="J56" s="23">
        <v>299.77</v>
      </c>
      <c r="K56" s="13" t="s">
        <v>64</v>
      </c>
      <c r="L56" s="24" t="s">
        <v>65</v>
      </c>
    </row>
    <row r="57" spans="1:12" x14ac:dyDescent="0.3">
      <c r="A57" s="21" t="s">
        <v>134</v>
      </c>
      <c r="B57" s="22">
        <v>45995</v>
      </c>
      <c r="C57" s="13" t="s">
        <v>53</v>
      </c>
      <c r="D57" s="13" t="s">
        <v>54</v>
      </c>
      <c r="E57" s="13" t="s">
        <v>110</v>
      </c>
      <c r="F57" s="13">
        <v>9</v>
      </c>
      <c r="G57" s="23">
        <v>11.92</v>
      </c>
      <c r="H57" s="23">
        <v>107.28</v>
      </c>
      <c r="I57" s="23">
        <v>84.79</v>
      </c>
      <c r="J57" s="23">
        <v>22.49</v>
      </c>
      <c r="K57" s="13" t="s">
        <v>69</v>
      </c>
      <c r="L57" s="24" t="s">
        <v>65</v>
      </c>
    </row>
    <row r="58" spans="1:12" x14ac:dyDescent="0.3">
      <c r="A58" s="21" t="s">
        <v>135</v>
      </c>
      <c r="B58" s="22">
        <v>45773</v>
      </c>
      <c r="C58" s="13" t="s">
        <v>88</v>
      </c>
      <c r="D58" s="13" t="s">
        <v>54</v>
      </c>
      <c r="E58" s="13" t="s">
        <v>78</v>
      </c>
      <c r="F58" s="13">
        <v>2</v>
      </c>
      <c r="G58" s="23">
        <v>8.61</v>
      </c>
      <c r="H58" s="23">
        <v>17.22</v>
      </c>
      <c r="I58" s="23">
        <v>12.83</v>
      </c>
      <c r="J58" s="23">
        <v>4.3899999999999997</v>
      </c>
      <c r="K58" s="13" t="s">
        <v>61</v>
      </c>
      <c r="L58" s="24" t="s">
        <v>57</v>
      </c>
    </row>
    <row r="59" spans="1:12" x14ac:dyDescent="0.3">
      <c r="A59" s="21" t="s">
        <v>136</v>
      </c>
      <c r="B59" s="22">
        <v>45891</v>
      </c>
      <c r="C59" s="13" t="s">
        <v>59</v>
      </c>
      <c r="D59" s="13" t="s">
        <v>74</v>
      </c>
      <c r="E59" s="13" t="s">
        <v>82</v>
      </c>
      <c r="F59" s="13">
        <v>4</v>
      </c>
      <c r="G59" s="23">
        <v>725.49</v>
      </c>
      <c r="H59" s="23">
        <v>2901.96</v>
      </c>
      <c r="I59" s="23">
        <v>2041.19</v>
      </c>
      <c r="J59" s="23">
        <v>860.77</v>
      </c>
      <c r="K59" s="13" t="s">
        <v>64</v>
      </c>
      <c r="L59" s="24" t="s">
        <v>62</v>
      </c>
    </row>
    <row r="60" spans="1:12" x14ac:dyDescent="0.3">
      <c r="A60" s="21" t="s">
        <v>137</v>
      </c>
      <c r="B60" s="22">
        <v>45733</v>
      </c>
      <c r="C60" s="13" t="s">
        <v>53</v>
      </c>
      <c r="D60" s="13" t="s">
        <v>54</v>
      </c>
      <c r="E60" s="13" t="s">
        <v>110</v>
      </c>
      <c r="F60" s="13">
        <v>12</v>
      </c>
      <c r="G60" s="23">
        <v>12.57</v>
      </c>
      <c r="H60" s="23">
        <v>150.84</v>
      </c>
      <c r="I60" s="23">
        <v>100.81</v>
      </c>
      <c r="J60" s="23">
        <v>50.03</v>
      </c>
      <c r="K60" s="13" t="s">
        <v>69</v>
      </c>
      <c r="L60" s="24" t="s">
        <v>57</v>
      </c>
    </row>
    <row r="61" spans="1:12" x14ac:dyDescent="0.3">
      <c r="A61" s="21" t="s">
        <v>138</v>
      </c>
      <c r="B61" s="22">
        <v>45683</v>
      </c>
      <c r="C61" s="13" t="s">
        <v>85</v>
      </c>
      <c r="D61" s="13" t="s">
        <v>67</v>
      </c>
      <c r="E61" s="13" t="s">
        <v>68</v>
      </c>
      <c r="F61" s="13">
        <v>3</v>
      </c>
      <c r="G61" s="23">
        <v>101.93</v>
      </c>
      <c r="H61" s="23">
        <v>305.79000000000002</v>
      </c>
      <c r="I61" s="23">
        <v>222.85</v>
      </c>
      <c r="J61" s="23">
        <v>82.94</v>
      </c>
      <c r="K61" s="13" t="s">
        <v>56</v>
      </c>
      <c r="L61" s="24" t="s">
        <v>57</v>
      </c>
    </row>
    <row r="62" spans="1:12" x14ac:dyDescent="0.3">
      <c r="A62" s="21" t="s">
        <v>139</v>
      </c>
      <c r="B62" s="22">
        <v>45884</v>
      </c>
      <c r="C62" s="13" t="s">
        <v>88</v>
      </c>
      <c r="D62" s="13" t="s">
        <v>74</v>
      </c>
      <c r="E62" s="13" t="s">
        <v>75</v>
      </c>
      <c r="F62" s="13">
        <v>3</v>
      </c>
      <c r="G62" s="23">
        <v>37.53</v>
      </c>
      <c r="H62" s="23">
        <v>112.59</v>
      </c>
      <c r="I62" s="23">
        <v>81.099999999999994</v>
      </c>
      <c r="J62" s="23">
        <v>31.49</v>
      </c>
      <c r="K62" s="13" t="s">
        <v>56</v>
      </c>
      <c r="L62" s="24" t="s">
        <v>62</v>
      </c>
    </row>
    <row r="63" spans="1:12" x14ac:dyDescent="0.3">
      <c r="A63" s="21" t="s">
        <v>140</v>
      </c>
      <c r="B63" s="22">
        <v>45901</v>
      </c>
      <c r="C63" s="13" t="s">
        <v>53</v>
      </c>
      <c r="D63" s="13" t="s">
        <v>54</v>
      </c>
      <c r="E63" s="13" t="s">
        <v>60</v>
      </c>
      <c r="F63" s="13">
        <v>14</v>
      </c>
      <c r="G63" s="23">
        <v>10.98</v>
      </c>
      <c r="H63" s="23">
        <v>153.72</v>
      </c>
      <c r="I63" s="23">
        <v>100.5</v>
      </c>
      <c r="J63" s="23">
        <v>53.22</v>
      </c>
      <c r="K63" s="13" t="s">
        <v>64</v>
      </c>
      <c r="L63" s="24" t="s">
        <v>65</v>
      </c>
    </row>
    <row r="64" spans="1:12" x14ac:dyDescent="0.3">
      <c r="A64" s="21" t="s">
        <v>141</v>
      </c>
      <c r="B64" s="22">
        <v>45798</v>
      </c>
      <c r="C64" s="13" t="s">
        <v>53</v>
      </c>
      <c r="D64" s="13" t="s">
        <v>74</v>
      </c>
      <c r="E64" s="13" t="s">
        <v>93</v>
      </c>
      <c r="F64" s="13">
        <v>13</v>
      </c>
      <c r="G64" s="23">
        <v>234.66</v>
      </c>
      <c r="H64" s="23">
        <v>3050.58</v>
      </c>
      <c r="I64" s="23">
        <v>2029.79</v>
      </c>
      <c r="J64" s="23">
        <v>1020.79</v>
      </c>
      <c r="K64" s="13" t="s">
        <v>64</v>
      </c>
      <c r="L64" s="24" t="s">
        <v>57</v>
      </c>
    </row>
    <row r="65" spans="1:12" x14ac:dyDescent="0.3">
      <c r="A65" s="21" t="s">
        <v>142</v>
      </c>
      <c r="B65" s="22">
        <v>45728</v>
      </c>
      <c r="C65" s="13" t="s">
        <v>59</v>
      </c>
      <c r="D65" s="13" t="s">
        <v>54</v>
      </c>
      <c r="E65" s="13" t="s">
        <v>78</v>
      </c>
      <c r="F65" s="13">
        <v>4</v>
      </c>
      <c r="G65" s="23">
        <v>7.56</v>
      </c>
      <c r="H65" s="23">
        <v>30.24</v>
      </c>
      <c r="I65" s="23">
        <v>18.63</v>
      </c>
      <c r="J65" s="23">
        <v>11.61</v>
      </c>
      <c r="K65" s="13" t="s">
        <v>61</v>
      </c>
      <c r="L65" s="24" t="s">
        <v>57</v>
      </c>
    </row>
    <row r="66" spans="1:12" x14ac:dyDescent="0.3">
      <c r="A66" s="21" t="s">
        <v>143</v>
      </c>
      <c r="B66" s="22">
        <v>45935</v>
      </c>
      <c r="C66" s="13" t="s">
        <v>88</v>
      </c>
      <c r="D66" s="13" t="s">
        <v>67</v>
      </c>
      <c r="E66" s="13" t="s">
        <v>68</v>
      </c>
      <c r="F66" s="13">
        <v>12</v>
      </c>
      <c r="G66" s="23">
        <v>88.48</v>
      </c>
      <c r="H66" s="23">
        <v>1061.76</v>
      </c>
      <c r="I66" s="23">
        <v>684.26</v>
      </c>
      <c r="J66" s="23">
        <v>377.5</v>
      </c>
      <c r="K66" s="13" t="s">
        <v>64</v>
      </c>
      <c r="L66" s="24" t="s">
        <v>65</v>
      </c>
    </row>
    <row r="67" spans="1:12" x14ac:dyDescent="0.3">
      <c r="A67" s="21" t="s">
        <v>144</v>
      </c>
      <c r="B67" s="22">
        <v>45952</v>
      </c>
      <c r="C67" s="13" t="s">
        <v>59</v>
      </c>
      <c r="D67" s="13" t="s">
        <v>74</v>
      </c>
      <c r="E67" s="13" t="s">
        <v>126</v>
      </c>
      <c r="F67" s="13">
        <v>14</v>
      </c>
      <c r="G67" s="23">
        <v>44.14</v>
      </c>
      <c r="H67" s="23">
        <v>617.96</v>
      </c>
      <c r="I67" s="23">
        <v>489.09</v>
      </c>
      <c r="J67" s="23">
        <v>128.87</v>
      </c>
      <c r="K67" s="13" t="s">
        <v>64</v>
      </c>
      <c r="L67" s="24" t="s">
        <v>65</v>
      </c>
    </row>
    <row r="68" spans="1:12" x14ac:dyDescent="0.3">
      <c r="A68" s="21" t="s">
        <v>145</v>
      </c>
      <c r="B68" s="22">
        <v>45933</v>
      </c>
      <c r="C68" s="13" t="s">
        <v>85</v>
      </c>
      <c r="D68" s="13" t="s">
        <v>74</v>
      </c>
      <c r="E68" s="13" t="s">
        <v>93</v>
      </c>
      <c r="F68" s="13">
        <v>5</v>
      </c>
      <c r="G68" s="23">
        <v>233.38</v>
      </c>
      <c r="H68" s="23">
        <v>1166.9000000000001</v>
      </c>
      <c r="I68" s="23">
        <v>905.55</v>
      </c>
      <c r="J68" s="23">
        <v>261.35000000000002</v>
      </c>
      <c r="K68" s="13" t="s">
        <v>56</v>
      </c>
      <c r="L68" s="24" t="s">
        <v>62</v>
      </c>
    </row>
    <row r="69" spans="1:12" x14ac:dyDescent="0.3">
      <c r="A69" s="21" t="s">
        <v>146</v>
      </c>
      <c r="B69" s="22">
        <v>45830</v>
      </c>
      <c r="C69" s="13" t="s">
        <v>85</v>
      </c>
      <c r="D69" s="13" t="s">
        <v>74</v>
      </c>
      <c r="E69" s="13" t="s">
        <v>75</v>
      </c>
      <c r="F69" s="13">
        <v>4</v>
      </c>
      <c r="G69" s="23">
        <v>33.090000000000003</v>
      </c>
      <c r="H69" s="23">
        <v>132.36000000000001</v>
      </c>
      <c r="I69" s="23">
        <v>88.11</v>
      </c>
      <c r="J69" s="23">
        <v>44.25</v>
      </c>
      <c r="K69" s="13" t="s">
        <v>64</v>
      </c>
      <c r="L69" s="24" t="s">
        <v>62</v>
      </c>
    </row>
    <row r="70" spans="1:12" x14ac:dyDescent="0.3">
      <c r="A70" s="21" t="s">
        <v>147</v>
      </c>
      <c r="B70" s="22">
        <v>45859</v>
      </c>
      <c r="C70" s="13" t="s">
        <v>59</v>
      </c>
      <c r="D70" s="13" t="s">
        <v>74</v>
      </c>
      <c r="E70" s="13" t="s">
        <v>75</v>
      </c>
      <c r="F70" s="13">
        <v>15</v>
      </c>
      <c r="G70" s="23">
        <v>31.87</v>
      </c>
      <c r="H70" s="23">
        <v>478.05</v>
      </c>
      <c r="I70" s="23">
        <v>337.83</v>
      </c>
      <c r="J70" s="23">
        <v>140.22</v>
      </c>
      <c r="K70" s="13" t="s">
        <v>56</v>
      </c>
      <c r="L70" s="24" t="s">
        <v>62</v>
      </c>
    </row>
    <row r="71" spans="1:12" x14ac:dyDescent="0.3">
      <c r="A71" s="21" t="s">
        <v>148</v>
      </c>
      <c r="B71" s="22">
        <v>45751</v>
      </c>
      <c r="C71" s="13" t="s">
        <v>85</v>
      </c>
      <c r="D71" s="13" t="s">
        <v>54</v>
      </c>
      <c r="E71" s="13" t="s">
        <v>55</v>
      </c>
      <c r="F71" s="13">
        <v>2</v>
      </c>
      <c r="G71" s="23">
        <v>5.17</v>
      </c>
      <c r="H71" s="23">
        <v>10.34</v>
      </c>
      <c r="I71" s="23">
        <v>5.8</v>
      </c>
      <c r="J71" s="23">
        <v>4.54</v>
      </c>
      <c r="K71" s="13" t="s">
        <v>69</v>
      </c>
      <c r="L71" s="24" t="s">
        <v>65</v>
      </c>
    </row>
    <row r="72" spans="1:12" x14ac:dyDescent="0.3">
      <c r="A72" s="21" t="s">
        <v>149</v>
      </c>
      <c r="B72" s="22">
        <v>45800</v>
      </c>
      <c r="C72" s="13" t="s">
        <v>85</v>
      </c>
      <c r="D72" s="13" t="s">
        <v>67</v>
      </c>
      <c r="E72" s="13" t="s">
        <v>71</v>
      </c>
      <c r="F72" s="13">
        <v>4</v>
      </c>
      <c r="G72" s="23">
        <v>138.47999999999999</v>
      </c>
      <c r="H72" s="23">
        <v>553.91999999999996</v>
      </c>
      <c r="I72" s="23">
        <v>344.12</v>
      </c>
      <c r="J72" s="23">
        <v>209.8</v>
      </c>
      <c r="K72" s="13" t="s">
        <v>64</v>
      </c>
      <c r="L72" s="24" t="s">
        <v>65</v>
      </c>
    </row>
    <row r="73" spans="1:12" x14ac:dyDescent="0.3">
      <c r="A73" s="21" t="s">
        <v>150</v>
      </c>
      <c r="B73" s="22">
        <v>45772</v>
      </c>
      <c r="C73" s="13" t="s">
        <v>88</v>
      </c>
      <c r="D73" s="13" t="s">
        <v>74</v>
      </c>
      <c r="E73" s="13" t="s">
        <v>75</v>
      </c>
      <c r="F73" s="13">
        <v>1</v>
      </c>
      <c r="G73" s="23">
        <v>37.090000000000003</v>
      </c>
      <c r="H73" s="23">
        <v>37.090000000000003</v>
      </c>
      <c r="I73" s="23">
        <v>19.87</v>
      </c>
      <c r="J73" s="23">
        <v>17.22</v>
      </c>
      <c r="K73" s="13" t="s">
        <v>69</v>
      </c>
      <c r="L73" s="24" t="s">
        <v>62</v>
      </c>
    </row>
    <row r="74" spans="1:12" x14ac:dyDescent="0.3">
      <c r="A74" s="21" t="s">
        <v>151</v>
      </c>
      <c r="B74" s="22">
        <v>45780</v>
      </c>
      <c r="C74" s="13" t="s">
        <v>53</v>
      </c>
      <c r="D74" s="13" t="s">
        <v>74</v>
      </c>
      <c r="E74" s="13" t="s">
        <v>82</v>
      </c>
      <c r="F74" s="13">
        <v>4</v>
      </c>
      <c r="G74" s="23">
        <v>603.1</v>
      </c>
      <c r="H74" s="23">
        <v>2412.4</v>
      </c>
      <c r="I74" s="23">
        <v>1269.2</v>
      </c>
      <c r="J74" s="23">
        <v>1143.2</v>
      </c>
      <c r="K74" s="13" t="s">
        <v>61</v>
      </c>
      <c r="L74" s="24" t="s">
        <v>65</v>
      </c>
    </row>
    <row r="75" spans="1:12" x14ac:dyDescent="0.3">
      <c r="A75" s="21" t="s">
        <v>152</v>
      </c>
      <c r="B75" s="22">
        <v>45846</v>
      </c>
      <c r="C75" s="13" t="s">
        <v>88</v>
      </c>
      <c r="D75" s="13" t="s">
        <v>54</v>
      </c>
      <c r="E75" s="13" t="s">
        <v>55</v>
      </c>
      <c r="F75" s="13">
        <v>10</v>
      </c>
      <c r="G75" s="23">
        <v>5.54</v>
      </c>
      <c r="H75" s="23">
        <v>55.4</v>
      </c>
      <c r="I75" s="23">
        <v>36.54</v>
      </c>
      <c r="J75" s="23">
        <v>18.86</v>
      </c>
      <c r="K75" s="13" t="s">
        <v>61</v>
      </c>
      <c r="L75" s="24" t="s">
        <v>62</v>
      </c>
    </row>
    <row r="76" spans="1:12" x14ac:dyDescent="0.3">
      <c r="A76" s="21" t="s">
        <v>153</v>
      </c>
      <c r="B76" s="22">
        <v>45954</v>
      </c>
      <c r="C76" s="13" t="s">
        <v>59</v>
      </c>
      <c r="D76" s="13" t="s">
        <v>54</v>
      </c>
      <c r="E76" s="13" t="s">
        <v>55</v>
      </c>
      <c r="F76" s="13">
        <v>13</v>
      </c>
      <c r="G76" s="23">
        <v>5.38</v>
      </c>
      <c r="H76" s="23">
        <v>69.94</v>
      </c>
      <c r="I76" s="23">
        <v>56.61</v>
      </c>
      <c r="J76" s="23">
        <v>13.33</v>
      </c>
      <c r="K76" s="13" t="s">
        <v>69</v>
      </c>
      <c r="L76" s="24" t="s">
        <v>65</v>
      </c>
    </row>
    <row r="77" spans="1:12" x14ac:dyDescent="0.3">
      <c r="A77" s="21" t="s">
        <v>154</v>
      </c>
      <c r="B77" s="22">
        <v>45710</v>
      </c>
      <c r="C77" s="13" t="s">
        <v>53</v>
      </c>
      <c r="D77" s="13" t="s">
        <v>54</v>
      </c>
      <c r="E77" s="13" t="s">
        <v>60</v>
      </c>
      <c r="F77" s="13">
        <v>7</v>
      </c>
      <c r="G77" s="23">
        <v>11.06</v>
      </c>
      <c r="H77" s="23">
        <v>77.42</v>
      </c>
      <c r="I77" s="23">
        <v>44.86</v>
      </c>
      <c r="J77" s="23">
        <v>32.56</v>
      </c>
      <c r="K77" s="13" t="s">
        <v>76</v>
      </c>
      <c r="L77" s="24" t="s">
        <v>62</v>
      </c>
    </row>
    <row r="78" spans="1:12" x14ac:dyDescent="0.3">
      <c r="A78" s="21" t="s">
        <v>155</v>
      </c>
      <c r="B78" s="22">
        <v>45930</v>
      </c>
      <c r="C78" s="13" t="s">
        <v>88</v>
      </c>
      <c r="D78" s="13" t="s">
        <v>54</v>
      </c>
      <c r="E78" s="13" t="s">
        <v>55</v>
      </c>
      <c r="F78" s="13">
        <v>13</v>
      </c>
      <c r="G78" s="23">
        <v>5.58</v>
      </c>
      <c r="H78" s="23">
        <v>72.540000000000006</v>
      </c>
      <c r="I78" s="23">
        <v>54.75</v>
      </c>
      <c r="J78" s="23">
        <v>17.79</v>
      </c>
      <c r="K78" s="13" t="s">
        <v>64</v>
      </c>
      <c r="L78" s="24" t="s">
        <v>62</v>
      </c>
    </row>
    <row r="79" spans="1:12" x14ac:dyDescent="0.3">
      <c r="A79" s="21" t="s">
        <v>156</v>
      </c>
      <c r="B79" s="22">
        <v>45908</v>
      </c>
      <c r="C79" s="13" t="s">
        <v>85</v>
      </c>
      <c r="D79" s="13" t="s">
        <v>67</v>
      </c>
      <c r="E79" s="13" t="s">
        <v>89</v>
      </c>
      <c r="F79" s="13">
        <v>9</v>
      </c>
      <c r="G79" s="23">
        <v>186.37</v>
      </c>
      <c r="H79" s="23">
        <v>1677.33</v>
      </c>
      <c r="I79" s="23">
        <v>878.58</v>
      </c>
      <c r="J79" s="23">
        <v>798.75</v>
      </c>
      <c r="K79" s="13" t="s">
        <v>69</v>
      </c>
      <c r="L79" s="24" t="s">
        <v>65</v>
      </c>
    </row>
    <row r="80" spans="1:12" x14ac:dyDescent="0.3">
      <c r="A80" s="21" t="s">
        <v>157</v>
      </c>
      <c r="B80" s="22">
        <v>45973</v>
      </c>
      <c r="C80" s="13" t="s">
        <v>88</v>
      </c>
      <c r="D80" s="13" t="s">
        <v>67</v>
      </c>
      <c r="E80" s="13" t="s">
        <v>80</v>
      </c>
      <c r="F80" s="13">
        <v>12</v>
      </c>
      <c r="G80" s="23">
        <v>146.66999999999999</v>
      </c>
      <c r="H80" s="23">
        <v>1760.04</v>
      </c>
      <c r="I80" s="23">
        <v>1008.22</v>
      </c>
      <c r="J80" s="23">
        <v>751.82</v>
      </c>
      <c r="K80" s="13" t="s">
        <v>56</v>
      </c>
      <c r="L80" s="24" t="s">
        <v>65</v>
      </c>
    </row>
    <row r="81" spans="1:12" x14ac:dyDescent="0.3">
      <c r="A81" s="21" t="s">
        <v>158</v>
      </c>
      <c r="B81" s="22">
        <v>45702</v>
      </c>
      <c r="C81" s="13" t="s">
        <v>53</v>
      </c>
      <c r="D81" s="13" t="s">
        <v>67</v>
      </c>
      <c r="E81" s="13" t="s">
        <v>80</v>
      </c>
      <c r="F81" s="13">
        <v>14</v>
      </c>
      <c r="G81" s="23">
        <v>168.87</v>
      </c>
      <c r="H81" s="23">
        <v>2364.1799999999998</v>
      </c>
      <c r="I81" s="23">
        <v>1419.73</v>
      </c>
      <c r="J81" s="23">
        <v>944.45</v>
      </c>
      <c r="K81" s="13" t="s">
        <v>76</v>
      </c>
      <c r="L81" s="24" t="s">
        <v>65</v>
      </c>
    </row>
    <row r="82" spans="1:12" x14ac:dyDescent="0.3">
      <c r="A82" s="21" t="s">
        <v>159</v>
      </c>
      <c r="B82" s="22">
        <v>45911</v>
      </c>
      <c r="C82" s="13" t="s">
        <v>59</v>
      </c>
      <c r="D82" s="13" t="s">
        <v>74</v>
      </c>
      <c r="E82" s="13" t="s">
        <v>75</v>
      </c>
      <c r="F82" s="13">
        <v>10</v>
      </c>
      <c r="G82" s="23">
        <v>35.93</v>
      </c>
      <c r="H82" s="23">
        <v>359.3</v>
      </c>
      <c r="I82" s="23">
        <v>227.69</v>
      </c>
      <c r="J82" s="23">
        <v>131.61000000000001</v>
      </c>
      <c r="K82" s="13" t="s">
        <v>76</v>
      </c>
      <c r="L82" s="24" t="s">
        <v>57</v>
      </c>
    </row>
    <row r="83" spans="1:12" x14ac:dyDescent="0.3">
      <c r="A83" s="21" t="s">
        <v>160</v>
      </c>
      <c r="B83" s="22">
        <v>45942</v>
      </c>
      <c r="C83" s="13" t="s">
        <v>88</v>
      </c>
      <c r="D83" s="13" t="s">
        <v>67</v>
      </c>
      <c r="E83" s="13" t="s">
        <v>68</v>
      </c>
      <c r="F83" s="13">
        <v>6</v>
      </c>
      <c r="G83" s="23">
        <v>101.79</v>
      </c>
      <c r="H83" s="23">
        <v>610.74</v>
      </c>
      <c r="I83" s="23">
        <v>379.94</v>
      </c>
      <c r="J83" s="23">
        <v>230.8</v>
      </c>
      <c r="K83" s="13" t="s">
        <v>69</v>
      </c>
      <c r="L83" s="24" t="s">
        <v>62</v>
      </c>
    </row>
    <row r="84" spans="1:12" x14ac:dyDescent="0.3">
      <c r="A84" s="21" t="s">
        <v>161</v>
      </c>
      <c r="B84" s="22">
        <v>46011</v>
      </c>
      <c r="C84" s="13" t="s">
        <v>53</v>
      </c>
      <c r="D84" s="13" t="s">
        <v>74</v>
      </c>
      <c r="E84" s="13" t="s">
        <v>82</v>
      </c>
      <c r="F84" s="13">
        <v>4</v>
      </c>
      <c r="G84" s="23">
        <v>684.33</v>
      </c>
      <c r="H84" s="23">
        <v>2737.32</v>
      </c>
      <c r="I84" s="23">
        <v>1824.62</v>
      </c>
      <c r="J84" s="23">
        <v>912.7</v>
      </c>
      <c r="K84" s="13" t="s">
        <v>64</v>
      </c>
      <c r="L84" s="24" t="s">
        <v>62</v>
      </c>
    </row>
    <row r="85" spans="1:12" x14ac:dyDescent="0.3">
      <c r="A85" s="21" t="s">
        <v>162</v>
      </c>
      <c r="B85" s="22">
        <v>45865</v>
      </c>
      <c r="C85" s="13" t="s">
        <v>53</v>
      </c>
      <c r="D85" s="13" t="s">
        <v>54</v>
      </c>
      <c r="E85" s="13" t="s">
        <v>60</v>
      </c>
      <c r="F85" s="13">
        <v>8</v>
      </c>
      <c r="G85" s="23">
        <v>10.7</v>
      </c>
      <c r="H85" s="23">
        <v>85.6</v>
      </c>
      <c r="I85" s="23">
        <v>46.9</v>
      </c>
      <c r="J85" s="23">
        <v>38.700000000000003</v>
      </c>
      <c r="K85" s="13" t="s">
        <v>61</v>
      </c>
      <c r="L85" s="24" t="s">
        <v>65</v>
      </c>
    </row>
    <row r="86" spans="1:12" x14ac:dyDescent="0.3">
      <c r="A86" s="21" t="s">
        <v>163</v>
      </c>
      <c r="B86" s="22">
        <v>45838</v>
      </c>
      <c r="C86" s="13" t="s">
        <v>88</v>
      </c>
      <c r="D86" s="13" t="s">
        <v>54</v>
      </c>
      <c r="E86" s="13" t="s">
        <v>78</v>
      </c>
      <c r="F86" s="13">
        <v>8</v>
      </c>
      <c r="G86" s="23">
        <v>8.1</v>
      </c>
      <c r="H86" s="23">
        <v>64.8</v>
      </c>
      <c r="I86" s="23">
        <v>40.380000000000003</v>
      </c>
      <c r="J86" s="23">
        <v>24.42</v>
      </c>
      <c r="K86" s="13" t="s">
        <v>64</v>
      </c>
      <c r="L86" s="24" t="s">
        <v>65</v>
      </c>
    </row>
    <row r="87" spans="1:12" x14ac:dyDescent="0.3">
      <c r="A87" s="21" t="s">
        <v>164</v>
      </c>
      <c r="B87" s="22">
        <v>45932</v>
      </c>
      <c r="C87" s="13" t="s">
        <v>59</v>
      </c>
      <c r="D87" s="13" t="s">
        <v>67</v>
      </c>
      <c r="E87" s="13" t="s">
        <v>71</v>
      </c>
      <c r="F87" s="13">
        <v>4</v>
      </c>
      <c r="G87" s="23">
        <v>127.25</v>
      </c>
      <c r="H87" s="23">
        <v>509</v>
      </c>
      <c r="I87" s="23">
        <v>294.08999999999997</v>
      </c>
      <c r="J87" s="23">
        <v>214.91</v>
      </c>
      <c r="K87" s="13" t="s">
        <v>61</v>
      </c>
      <c r="L87" s="24" t="s">
        <v>57</v>
      </c>
    </row>
    <row r="88" spans="1:12" x14ac:dyDescent="0.3">
      <c r="A88" s="21" t="s">
        <v>165</v>
      </c>
      <c r="B88" s="22">
        <v>45709</v>
      </c>
      <c r="C88" s="13" t="s">
        <v>88</v>
      </c>
      <c r="D88" s="13" t="s">
        <v>74</v>
      </c>
      <c r="E88" s="13" t="s">
        <v>75</v>
      </c>
      <c r="F88" s="13">
        <v>5</v>
      </c>
      <c r="G88" s="23">
        <v>36.89</v>
      </c>
      <c r="H88" s="23">
        <v>184.45</v>
      </c>
      <c r="I88" s="23">
        <v>149.94999999999999</v>
      </c>
      <c r="J88" s="23">
        <v>34.5</v>
      </c>
      <c r="K88" s="13" t="s">
        <v>61</v>
      </c>
      <c r="L88" s="24" t="s">
        <v>65</v>
      </c>
    </row>
    <row r="89" spans="1:12" x14ac:dyDescent="0.3">
      <c r="A89" s="21" t="s">
        <v>166</v>
      </c>
      <c r="B89" s="22">
        <v>45798</v>
      </c>
      <c r="C89" s="13" t="s">
        <v>53</v>
      </c>
      <c r="D89" s="13" t="s">
        <v>74</v>
      </c>
      <c r="E89" s="13" t="s">
        <v>93</v>
      </c>
      <c r="F89" s="13">
        <v>3</v>
      </c>
      <c r="G89" s="23">
        <v>209.56</v>
      </c>
      <c r="H89" s="23">
        <v>628.67999999999995</v>
      </c>
      <c r="I89" s="23">
        <v>460.45</v>
      </c>
      <c r="J89" s="23">
        <v>168.23</v>
      </c>
      <c r="K89" s="13" t="s">
        <v>69</v>
      </c>
      <c r="L89" s="24" t="s">
        <v>57</v>
      </c>
    </row>
    <row r="90" spans="1:12" x14ac:dyDescent="0.3">
      <c r="A90" s="21" t="s">
        <v>167</v>
      </c>
      <c r="B90" s="22">
        <v>45710</v>
      </c>
      <c r="C90" s="13" t="s">
        <v>85</v>
      </c>
      <c r="D90" s="13" t="s">
        <v>54</v>
      </c>
      <c r="E90" s="13" t="s">
        <v>78</v>
      </c>
      <c r="F90" s="13">
        <v>12</v>
      </c>
      <c r="G90" s="23">
        <v>8.85</v>
      </c>
      <c r="H90" s="23">
        <v>106.2</v>
      </c>
      <c r="I90" s="23">
        <v>75.55</v>
      </c>
      <c r="J90" s="23">
        <v>30.65</v>
      </c>
      <c r="K90" s="13" t="s">
        <v>69</v>
      </c>
      <c r="L90" s="24" t="s">
        <v>62</v>
      </c>
    </row>
    <row r="91" spans="1:12" x14ac:dyDescent="0.3">
      <c r="A91" s="21" t="s">
        <v>168</v>
      </c>
      <c r="B91" s="22">
        <v>45787</v>
      </c>
      <c r="C91" s="13" t="s">
        <v>59</v>
      </c>
      <c r="D91" s="13" t="s">
        <v>67</v>
      </c>
      <c r="E91" s="13" t="s">
        <v>80</v>
      </c>
      <c r="F91" s="13">
        <v>8</v>
      </c>
      <c r="G91" s="23">
        <v>157.71</v>
      </c>
      <c r="H91" s="23">
        <v>1261.68</v>
      </c>
      <c r="I91" s="23">
        <v>725.86</v>
      </c>
      <c r="J91" s="23">
        <v>535.82000000000005</v>
      </c>
      <c r="K91" s="13" t="s">
        <v>64</v>
      </c>
      <c r="L91" s="24" t="s">
        <v>57</v>
      </c>
    </row>
    <row r="92" spans="1:12" x14ac:dyDescent="0.3">
      <c r="A92" s="21" t="s">
        <v>169</v>
      </c>
      <c r="B92" s="22">
        <v>45735</v>
      </c>
      <c r="C92" s="13" t="s">
        <v>59</v>
      </c>
      <c r="D92" s="13" t="s">
        <v>74</v>
      </c>
      <c r="E92" s="13" t="s">
        <v>75</v>
      </c>
      <c r="F92" s="13">
        <v>8</v>
      </c>
      <c r="G92" s="23">
        <v>31.42</v>
      </c>
      <c r="H92" s="23">
        <v>251.36</v>
      </c>
      <c r="I92" s="23">
        <v>178.17</v>
      </c>
      <c r="J92" s="23">
        <v>73.19</v>
      </c>
      <c r="K92" s="13" t="s">
        <v>61</v>
      </c>
      <c r="L92" s="24" t="s">
        <v>62</v>
      </c>
    </row>
    <row r="93" spans="1:12" x14ac:dyDescent="0.3">
      <c r="A93" s="21" t="s">
        <v>170</v>
      </c>
      <c r="B93" s="22">
        <v>45925</v>
      </c>
      <c r="C93" s="13" t="s">
        <v>53</v>
      </c>
      <c r="D93" s="13" t="s">
        <v>67</v>
      </c>
      <c r="E93" s="13" t="s">
        <v>89</v>
      </c>
      <c r="F93" s="13">
        <v>4</v>
      </c>
      <c r="G93" s="23">
        <v>163.52000000000001</v>
      </c>
      <c r="H93" s="23">
        <v>654.08000000000004</v>
      </c>
      <c r="I93" s="23">
        <v>490.12</v>
      </c>
      <c r="J93" s="23">
        <v>163.96</v>
      </c>
      <c r="K93" s="13" t="s">
        <v>64</v>
      </c>
      <c r="L93" s="24" t="s">
        <v>65</v>
      </c>
    </row>
    <row r="94" spans="1:12" x14ac:dyDescent="0.3">
      <c r="A94" s="21" t="s">
        <v>171</v>
      </c>
      <c r="B94" s="22">
        <v>45970</v>
      </c>
      <c r="C94" s="13" t="s">
        <v>59</v>
      </c>
      <c r="D94" s="13" t="s">
        <v>67</v>
      </c>
      <c r="E94" s="13" t="s">
        <v>71</v>
      </c>
      <c r="F94" s="13">
        <v>14</v>
      </c>
      <c r="G94" s="23">
        <v>142.97</v>
      </c>
      <c r="H94" s="23">
        <v>2001.58</v>
      </c>
      <c r="I94" s="23">
        <v>1298.32</v>
      </c>
      <c r="J94" s="23">
        <v>703.26</v>
      </c>
      <c r="K94" s="13" t="s">
        <v>69</v>
      </c>
      <c r="L94" s="24" t="s">
        <v>57</v>
      </c>
    </row>
    <row r="95" spans="1:12" x14ac:dyDescent="0.3">
      <c r="A95" s="21" t="s">
        <v>172</v>
      </c>
      <c r="B95" s="22">
        <v>45940</v>
      </c>
      <c r="C95" s="13" t="s">
        <v>53</v>
      </c>
      <c r="D95" s="13" t="s">
        <v>54</v>
      </c>
      <c r="E95" s="13" t="s">
        <v>110</v>
      </c>
      <c r="F95" s="13">
        <v>5</v>
      </c>
      <c r="G95" s="23">
        <v>12.46</v>
      </c>
      <c r="H95" s="23">
        <v>62.3</v>
      </c>
      <c r="I95" s="23">
        <v>35.33</v>
      </c>
      <c r="J95" s="23">
        <v>26.97</v>
      </c>
      <c r="K95" s="13" t="s">
        <v>69</v>
      </c>
      <c r="L95" s="24" t="s">
        <v>57</v>
      </c>
    </row>
    <row r="96" spans="1:12" x14ac:dyDescent="0.3">
      <c r="A96" s="21" t="s">
        <v>173</v>
      </c>
      <c r="B96" s="22">
        <v>45776</v>
      </c>
      <c r="C96" s="13" t="s">
        <v>59</v>
      </c>
      <c r="D96" s="13" t="s">
        <v>74</v>
      </c>
      <c r="E96" s="13" t="s">
        <v>75</v>
      </c>
      <c r="F96" s="13">
        <v>8</v>
      </c>
      <c r="G96" s="23">
        <v>36.590000000000003</v>
      </c>
      <c r="H96" s="23">
        <v>292.72000000000003</v>
      </c>
      <c r="I96" s="23">
        <v>193.48</v>
      </c>
      <c r="J96" s="23">
        <v>99.24</v>
      </c>
      <c r="K96" s="13" t="s">
        <v>76</v>
      </c>
      <c r="L96" s="24" t="s">
        <v>62</v>
      </c>
    </row>
    <row r="97" spans="1:12" x14ac:dyDescent="0.3">
      <c r="A97" s="21" t="s">
        <v>174</v>
      </c>
      <c r="B97" s="22">
        <v>45875</v>
      </c>
      <c r="C97" s="13" t="s">
        <v>53</v>
      </c>
      <c r="D97" s="13" t="s">
        <v>67</v>
      </c>
      <c r="E97" s="13" t="s">
        <v>80</v>
      </c>
      <c r="F97" s="13">
        <v>2</v>
      </c>
      <c r="G97" s="23">
        <v>167.2</v>
      </c>
      <c r="H97" s="23">
        <v>334.4</v>
      </c>
      <c r="I97" s="23">
        <v>266.57</v>
      </c>
      <c r="J97" s="23">
        <v>67.83</v>
      </c>
      <c r="K97" s="13" t="s">
        <v>69</v>
      </c>
      <c r="L97" s="24" t="s">
        <v>62</v>
      </c>
    </row>
    <row r="98" spans="1:12" x14ac:dyDescent="0.3">
      <c r="A98" s="21" t="s">
        <v>175</v>
      </c>
      <c r="B98" s="22">
        <v>45742</v>
      </c>
      <c r="C98" s="13" t="s">
        <v>59</v>
      </c>
      <c r="D98" s="13" t="s">
        <v>74</v>
      </c>
      <c r="E98" s="13" t="s">
        <v>126</v>
      </c>
      <c r="F98" s="13">
        <v>15</v>
      </c>
      <c r="G98" s="23">
        <v>42.47</v>
      </c>
      <c r="H98" s="23">
        <v>637.04999999999995</v>
      </c>
      <c r="I98" s="23">
        <v>358.45</v>
      </c>
      <c r="J98" s="23">
        <v>278.60000000000002</v>
      </c>
      <c r="K98" s="13" t="s">
        <v>76</v>
      </c>
      <c r="L98" s="24" t="s">
        <v>62</v>
      </c>
    </row>
    <row r="99" spans="1:12" x14ac:dyDescent="0.3">
      <c r="A99" s="21" t="s">
        <v>176</v>
      </c>
      <c r="B99" s="22">
        <v>45797</v>
      </c>
      <c r="C99" s="13" t="s">
        <v>85</v>
      </c>
      <c r="D99" s="13" t="s">
        <v>54</v>
      </c>
      <c r="E99" s="13" t="s">
        <v>78</v>
      </c>
      <c r="F99" s="13">
        <v>8</v>
      </c>
      <c r="G99" s="23">
        <v>7.28</v>
      </c>
      <c r="H99" s="23">
        <v>58.24</v>
      </c>
      <c r="I99" s="23">
        <v>42.32</v>
      </c>
      <c r="J99" s="23">
        <v>15.92</v>
      </c>
      <c r="K99" s="13" t="s">
        <v>56</v>
      </c>
      <c r="L99" s="24" t="s">
        <v>62</v>
      </c>
    </row>
    <row r="100" spans="1:12" x14ac:dyDescent="0.3">
      <c r="A100" s="21" t="s">
        <v>177</v>
      </c>
      <c r="B100" s="22">
        <v>45967</v>
      </c>
      <c r="C100" s="13" t="s">
        <v>88</v>
      </c>
      <c r="D100" s="13" t="s">
        <v>67</v>
      </c>
      <c r="E100" s="13" t="s">
        <v>80</v>
      </c>
      <c r="F100" s="13">
        <v>2</v>
      </c>
      <c r="G100" s="23">
        <v>163.76</v>
      </c>
      <c r="H100" s="23">
        <v>327.52</v>
      </c>
      <c r="I100" s="23">
        <v>257.7</v>
      </c>
      <c r="J100" s="23">
        <v>69.819999999999993</v>
      </c>
      <c r="K100" s="13" t="s">
        <v>76</v>
      </c>
      <c r="L100" s="24" t="s">
        <v>57</v>
      </c>
    </row>
    <row r="101" spans="1:12" x14ac:dyDescent="0.3">
      <c r="A101" s="21" t="s">
        <v>178</v>
      </c>
      <c r="B101" s="22">
        <v>46002</v>
      </c>
      <c r="C101" s="13" t="s">
        <v>59</v>
      </c>
      <c r="D101" s="13" t="s">
        <v>74</v>
      </c>
      <c r="E101" s="13" t="s">
        <v>126</v>
      </c>
      <c r="F101" s="13">
        <v>11</v>
      </c>
      <c r="G101" s="23">
        <v>48.63</v>
      </c>
      <c r="H101" s="23">
        <v>534.92999999999995</v>
      </c>
      <c r="I101" s="23">
        <v>370.47</v>
      </c>
      <c r="J101" s="23">
        <v>164.46</v>
      </c>
      <c r="K101" s="13" t="s">
        <v>76</v>
      </c>
      <c r="L101" s="24" t="s">
        <v>62</v>
      </c>
    </row>
    <row r="102" spans="1:12" x14ac:dyDescent="0.3">
      <c r="A102" s="21" t="s">
        <v>179</v>
      </c>
      <c r="B102" s="22">
        <v>45750</v>
      </c>
      <c r="C102" s="13" t="s">
        <v>88</v>
      </c>
      <c r="D102" s="13" t="s">
        <v>74</v>
      </c>
      <c r="E102" s="13" t="s">
        <v>126</v>
      </c>
      <c r="F102" s="13">
        <v>8</v>
      </c>
      <c r="G102" s="23">
        <v>45.2</v>
      </c>
      <c r="H102" s="23">
        <v>361.6</v>
      </c>
      <c r="I102" s="23">
        <v>236.01</v>
      </c>
      <c r="J102" s="23">
        <v>125.59</v>
      </c>
      <c r="K102" s="13" t="s">
        <v>56</v>
      </c>
      <c r="L102" s="24" t="s">
        <v>65</v>
      </c>
    </row>
    <row r="103" spans="1:12" x14ac:dyDescent="0.3">
      <c r="A103" s="21" t="s">
        <v>180</v>
      </c>
      <c r="B103" s="22">
        <v>46001</v>
      </c>
      <c r="C103" s="13" t="s">
        <v>88</v>
      </c>
      <c r="D103" s="13" t="s">
        <v>54</v>
      </c>
      <c r="E103" s="13" t="s">
        <v>60</v>
      </c>
      <c r="F103" s="13">
        <v>2</v>
      </c>
      <c r="G103" s="23">
        <v>9.93</v>
      </c>
      <c r="H103" s="23">
        <v>19.86</v>
      </c>
      <c r="I103" s="23">
        <v>12.76</v>
      </c>
      <c r="J103" s="23">
        <v>7.1</v>
      </c>
      <c r="K103" s="13" t="s">
        <v>69</v>
      </c>
      <c r="L103" s="24" t="s">
        <v>57</v>
      </c>
    </row>
    <row r="104" spans="1:12" x14ac:dyDescent="0.3">
      <c r="A104" s="21" t="s">
        <v>181</v>
      </c>
      <c r="B104" s="22">
        <v>45939</v>
      </c>
      <c r="C104" s="13" t="s">
        <v>85</v>
      </c>
      <c r="D104" s="13" t="s">
        <v>67</v>
      </c>
      <c r="E104" s="13" t="s">
        <v>80</v>
      </c>
      <c r="F104" s="13">
        <v>12</v>
      </c>
      <c r="G104" s="23">
        <v>159.83000000000001</v>
      </c>
      <c r="H104" s="23">
        <v>1917.96</v>
      </c>
      <c r="I104" s="23">
        <v>1378.58</v>
      </c>
      <c r="J104" s="23">
        <v>539.38</v>
      </c>
      <c r="K104" s="13" t="s">
        <v>69</v>
      </c>
      <c r="L104" s="24" t="s">
        <v>65</v>
      </c>
    </row>
    <row r="105" spans="1:12" x14ac:dyDescent="0.3">
      <c r="A105" s="21" t="s">
        <v>182</v>
      </c>
      <c r="B105" s="22">
        <v>45921</v>
      </c>
      <c r="C105" s="13" t="s">
        <v>85</v>
      </c>
      <c r="D105" s="13" t="s">
        <v>74</v>
      </c>
      <c r="E105" s="13" t="s">
        <v>93</v>
      </c>
      <c r="F105" s="13">
        <v>5</v>
      </c>
      <c r="G105" s="23">
        <v>210.67</v>
      </c>
      <c r="H105" s="23">
        <v>1053.3499999999999</v>
      </c>
      <c r="I105" s="23">
        <v>854.33</v>
      </c>
      <c r="J105" s="23">
        <v>199.02</v>
      </c>
      <c r="K105" s="13" t="s">
        <v>69</v>
      </c>
      <c r="L105" s="24" t="s">
        <v>62</v>
      </c>
    </row>
    <row r="106" spans="1:12" x14ac:dyDescent="0.3">
      <c r="A106" s="21" t="s">
        <v>183</v>
      </c>
      <c r="B106" s="22">
        <v>45978</v>
      </c>
      <c r="C106" s="13" t="s">
        <v>85</v>
      </c>
      <c r="D106" s="13" t="s">
        <v>54</v>
      </c>
      <c r="E106" s="13" t="s">
        <v>60</v>
      </c>
      <c r="F106" s="13">
        <v>7</v>
      </c>
      <c r="G106" s="23">
        <v>8.93</v>
      </c>
      <c r="H106" s="23">
        <v>62.51</v>
      </c>
      <c r="I106" s="23">
        <v>42.23</v>
      </c>
      <c r="J106" s="23">
        <v>20.28</v>
      </c>
      <c r="K106" s="13" t="s">
        <v>64</v>
      </c>
      <c r="L106" s="24" t="s">
        <v>57</v>
      </c>
    </row>
    <row r="107" spans="1:12" x14ac:dyDescent="0.3">
      <c r="A107" s="21" t="s">
        <v>184</v>
      </c>
      <c r="B107" s="22">
        <v>45720</v>
      </c>
      <c r="C107" s="13" t="s">
        <v>85</v>
      </c>
      <c r="D107" s="13" t="s">
        <v>74</v>
      </c>
      <c r="E107" s="13" t="s">
        <v>93</v>
      </c>
      <c r="F107" s="13">
        <v>9</v>
      </c>
      <c r="G107" s="23">
        <v>200.52</v>
      </c>
      <c r="H107" s="23">
        <v>1804.68</v>
      </c>
      <c r="I107" s="23">
        <v>1094.3699999999999</v>
      </c>
      <c r="J107" s="23">
        <v>710.31</v>
      </c>
      <c r="K107" s="13" t="s">
        <v>69</v>
      </c>
      <c r="L107" s="24" t="s">
        <v>62</v>
      </c>
    </row>
    <row r="108" spans="1:12" x14ac:dyDescent="0.3">
      <c r="A108" s="21" t="s">
        <v>185</v>
      </c>
      <c r="B108" s="22">
        <v>45705</v>
      </c>
      <c r="C108" s="13" t="s">
        <v>85</v>
      </c>
      <c r="D108" s="13" t="s">
        <v>54</v>
      </c>
      <c r="E108" s="13" t="s">
        <v>110</v>
      </c>
      <c r="F108" s="13">
        <v>12</v>
      </c>
      <c r="G108" s="23">
        <v>11.02</v>
      </c>
      <c r="H108" s="23">
        <v>132.24</v>
      </c>
      <c r="I108" s="23">
        <v>90.62</v>
      </c>
      <c r="J108" s="23">
        <v>41.62</v>
      </c>
      <c r="K108" s="13" t="s">
        <v>61</v>
      </c>
      <c r="L108" s="24" t="s">
        <v>57</v>
      </c>
    </row>
    <row r="109" spans="1:12" x14ac:dyDescent="0.3">
      <c r="A109" s="21" t="s">
        <v>186</v>
      </c>
      <c r="B109" s="22">
        <v>45918</v>
      </c>
      <c r="C109" s="13" t="s">
        <v>88</v>
      </c>
      <c r="D109" s="13" t="s">
        <v>67</v>
      </c>
      <c r="E109" s="13" t="s">
        <v>89</v>
      </c>
      <c r="F109" s="13">
        <v>11</v>
      </c>
      <c r="G109" s="23">
        <v>194.35</v>
      </c>
      <c r="H109" s="23">
        <v>2137.85</v>
      </c>
      <c r="I109" s="23">
        <v>1431.32</v>
      </c>
      <c r="J109" s="23">
        <v>706.53</v>
      </c>
      <c r="K109" s="13" t="s">
        <v>76</v>
      </c>
      <c r="L109" s="24" t="s">
        <v>65</v>
      </c>
    </row>
    <row r="110" spans="1:12" x14ac:dyDescent="0.3">
      <c r="A110" s="21" t="s">
        <v>187</v>
      </c>
      <c r="B110" s="22">
        <v>45964</v>
      </c>
      <c r="C110" s="13" t="s">
        <v>53</v>
      </c>
      <c r="D110" s="13" t="s">
        <v>67</v>
      </c>
      <c r="E110" s="13" t="s">
        <v>80</v>
      </c>
      <c r="F110" s="13">
        <v>4</v>
      </c>
      <c r="G110" s="23">
        <v>158.34</v>
      </c>
      <c r="H110" s="23">
        <v>633.36</v>
      </c>
      <c r="I110" s="23">
        <v>356.83</v>
      </c>
      <c r="J110" s="23">
        <v>276.52999999999997</v>
      </c>
      <c r="K110" s="13" t="s">
        <v>56</v>
      </c>
      <c r="L110" s="24" t="s">
        <v>62</v>
      </c>
    </row>
    <row r="111" spans="1:12" x14ac:dyDescent="0.3">
      <c r="A111" s="21" t="s">
        <v>188</v>
      </c>
      <c r="B111" s="22">
        <v>45917</v>
      </c>
      <c r="C111" s="13" t="s">
        <v>88</v>
      </c>
      <c r="D111" s="13" t="s">
        <v>74</v>
      </c>
      <c r="E111" s="13" t="s">
        <v>82</v>
      </c>
      <c r="F111" s="13">
        <v>5</v>
      </c>
      <c r="G111" s="23">
        <v>692.54</v>
      </c>
      <c r="H111" s="23">
        <v>3462.7</v>
      </c>
      <c r="I111" s="23">
        <v>2688.18</v>
      </c>
      <c r="J111" s="23">
        <v>774.52</v>
      </c>
      <c r="K111" s="13" t="s">
        <v>76</v>
      </c>
      <c r="L111" s="24" t="s">
        <v>57</v>
      </c>
    </row>
    <row r="112" spans="1:12" x14ac:dyDescent="0.3">
      <c r="A112" s="21" t="s">
        <v>189</v>
      </c>
      <c r="B112" s="22">
        <v>45734</v>
      </c>
      <c r="C112" s="13" t="s">
        <v>85</v>
      </c>
      <c r="D112" s="13" t="s">
        <v>67</v>
      </c>
      <c r="E112" s="13" t="s">
        <v>71</v>
      </c>
      <c r="F112" s="13">
        <v>14</v>
      </c>
      <c r="G112" s="23">
        <v>142.91999999999999</v>
      </c>
      <c r="H112" s="23">
        <v>2000.88</v>
      </c>
      <c r="I112" s="23">
        <v>1640.06</v>
      </c>
      <c r="J112" s="23">
        <v>360.82</v>
      </c>
      <c r="K112" s="13" t="s">
        <v>64</v>
      </c>
      <c r="L112" s="24" t="s">
        <v>62</v>
      </c>
    </row>
    <row r="113" spans="1:12" x14ac:dyDescent="0.3">
      <c r="A113" s="21" t="s">
        <v>190</v>
      </c>
      <c r="B113" s="22">
        <v>45822</v>
      </c>
      <c r="C113" s="13" t="s">
        <v>85</v>
      </c>
      <c r="D113" s="13" t="s">
        <v>67</v>
      </c>
      <c r="E113" s="13" t="s">
        <v>71</v>
      </c>
      <c r="F113" s="13">
        <v>6</v>
      </c>
      <c r="G113" s="23">
        <v>141.74</v>
      </c>
      <c r="H113" s="23">
        <v>850.44</v>
      </c>
      <c r="I113" s="23">
        <v>580.88</v>
      </c>
      <c r="J113" s="23">
        <v>269.56</v>
      </c>
      <c r="K113" s="13" t="s">
        <v>61</v>
      </c>
      <c r="L113" s="24" t="s">
        <v>62</v>
      </c>
    </row>
    <row r="114" spans="1:12" x14ac:dyDescent="0.3">
      <c r="A114" s="21" t="s">
        <v>191</v>
      </c>
      <c r="B114" s="22">
        <v>45900</v>
      </c>
      <c r="C114" s="13" t="s">
        <v>88</v>
      </c>
      <c r="D114" s="13" t="s">
        <v>74</v>
      </c>
      <c r="E114" s="13" t="s">
        <v>75</v>
      </c>
      <c r="F114" s="13">
        <v>4</v>
      </c>
      <c r="G114" s="23">
        <v>37.99</v>
      </c>
      <c r="H114" s="23">
        <v>151.96</v>
      </c>
      <c r="I114" s="23">
        <v>97.75</v>
      </c>
      <c r="J114" s="23">
        <v>54.21</v>
      </c>
      <c r="K114" s="13" t="s">
        <v>64</v>
      </c>
      <c r="L114" s="24" t="s">
        <v>65</v>
      </c>
    </row>
    <row r="115" spans="1:12" x14ac:dyDescent="0.3">
      <c r="A115" s="21" t="s">
        <v>192</v>
      </c>
      <c r="B115" s="22">
        <v>45709</v>
      </c>
      <c r="C115" s="13" t="s">
        <v>88</v>
      </c>
      <c r="D115" s="13" t="s">
        <v>54</v>
      </c>
      <c r="E115" s="13" t="s">
        <v>110</v>
      </c>
      <c r="F115" s="13">
        <v>8</v>
      </c>
      <c r="G115" s="23">
        <v>13.34</v>
      </c>
      <c r="H115" s="23">
        <v>106.72</v>
      </c>
      <c r="I115" s="23">
        <v>59.54</v>
      </c>
      <c r="J115" s="23">
        <v>47.18</v>
      </c>
      <c r="K115" s="13" t="s">
        <v>64</v>
      </c>
      <c r="L115" s="24" t="s">
        <v>57</v>
      </c>
    </row>
    <row r="116" spans="1:12" x14ac:dyDescent="0.3">
      <c r="A116" s="21" t="s">
        <v>193</v>
      </c>
      <c r="B116" s="22">
        <v>45696</v>
      </c>
      <c r="C116" s="13" t="s">
        <v>53</v>
      </c>
      <c r="D116" s="13" t="s">
        <v>54</v>
      </c>
      <c r="E116" s="13" t="s">
        <v>60</v>
      </c>
      <c r="F116" s="13">
        <v>1</v>
      </c>
      <c r="G116" s="23">
        <v>10.53</v>
      </c>
      <c r="H116" s="23">
        <v>10.53</v>
      </c>
      <c r="I116" s="23">
        <v>6.77</v>
      </c>
      <c r="J116" s="23">
        <v>3.76</v>
      </c>
      <c r="K116" s="13" t="s">
        <v>64</v>
      </c>
      <c r="L116" s="24" t="s">
        <v>65</v>
      </c>
    </row>
    <row r="117" spans="1:12" x14ac:dyDescent="0.3">
      <c r="A117" s="21" t="s">
        <v>194</v>
      </c>
      <c r="B117" s="22">
        <v>45820</v>
      </c>
      <c r="C117" s="13" t="s">
        <v>85</v>
      </c>
      <c r="D117" s="13" t="s">
        <v>67</v>
      </c>
      <c r="E117" s="13" t="s">
        <v>80</v>
      </c>
      <c r="F117" s="13">
        <v>11</v>
      </c>
      <c r="G117" s="23">
        <v>143.88</v>
      </c>
      <c r="H117" s="23">
        <v>1582.68</v>
      </c>
      <c r="I117" s="23">
        <v>979</v>
      </c>
      <c r="J117" s="23">
        <v>603.67999999999995</v>
      </c>
      <c r="K117" s="13" t="s">
        <v>64</v>
      </c>
      <c r="L117" s="24" t="s">
        <v>62</v>
      </c>
    </row>
    <row r="118" spans="1:12" x14ac:dyDescent="0.3">
      <c r="A118" s="21" t="s">
        <v>195</v>
      </c>
      <c r="B118" s="22">
        <v>45704</v>
      </c>
      <c r="C118" s="13" t="s">
        <v>53</v>
      </c>
      <c r="D118" s="13" t="s">
        <v>74</v>
      </c>
      <c r="E118" s="13" t="s">
        <v>82</v>
      </c>
      <c r="F118" s="13">
        <v>4</v>
      </c>
      <c r="G118" s="23">
        <v>670.46</v>
      </c>
      <c r="H118" s="23">
        <v>2681.84</v>
      </c>
      <c r="I118" s="23">
        <v>2135.4899999999998</v>
      </c>
      <c r="J118" s="23">
        <v>546.35</v>
      </c>
      <c r="K118" s="13" t="s">
        <v>64</v>
      </c>
      <c r="L118" s="24" t="s">
        <v>57</v>
      </c>
    </row>
    <row r="119" spans="1:12" x14ac:dyDescent="0.3">
      <c r="A119" s="21" t="s">
        <v>196</v>
      </c>
      <c r="B119" s="22">
        <v>45681</v>
      </c>
      <c r="C119" s="13" t="s">
        <v>59</v>
      </c>
      <c r="D119" s="13" t="s">
        <v>54</v>
      </c>
      <c r="E119" s="13" t="s">
        <v>55</v>
      </c>
      <c r="F119" s="13">
        <v>8</v>
      </c>
      <c r="G119" s="23">
        <v>4.5999999999999996</v>
      </c>
      <c r="H119" s="23">
        <v>36.799999999999997</v>
      </c>
      <c r="I119" s="23">
        <v>22.44</v>
      </c>
      <c r="J119" s="23">
        <v>14.36</v>
      </c>
      <c r="K119" s="13" t="s">
        <v>76</v>
      </c>
      <c r="L119" s="24" t="s">
        <v>57</v>
      </c>
    </row>
    <row r="120" spans="1:12" x14ac:dyDescent="0.3">
      <c r="A120" s="21" t="s">
        <v>197</v>
      </c>
      <c r="B120" s="22">
        <v>45947</v>
      </c>
      <c r="C120" s="13" t="s">
        <v>85</v>
      </c>
      <c r="D120" s="13" t="s">
        <v>67</v>
      </c>
      <c r="E120" s="13" t="s">
        <v>71</v>
      </c>
      <c r="F120" s="13">
        <v>6</v>
      </c>
      <c r="G120" s="23">
        <v>137.66999999999999</v>
      </c>
      <c r="H120" s="23">
        <v>826.02</v>
      </c>
      <c r="I120" s="23">
        <v>490.04</v>
      </c>
      <c r="J120" s="23">
        <v>335.98</v>
      </c>
      <c r="K120" s="13" t="s">
        <v>61</v>
      </c>
      <c r="L120" s="24" t="s">
        <v>57</v>
      </c>
    </row>
    <row r="121" spans="1:12" x14ac:dyDescent="0.3">
      <c r="A121" s="21" t="s">
        <v>198</v>
      </c>
      <c r="B121" s="22">
        <v>45912</v>
      </c>
      <c r="C121" s="13" t="s">
        <v>53</v>
      </c>
      <c r="D121" s="13" t="s">
        <v>74</v>
      </c>
      <c r="E121" s="13" t="s">
        <v>82</v>
      </c>
      <c r="F121" s="13">
        <v>10</v>
      </c>
      <c r="G121" s="23">
        <v>707.85</v>
      </c>
      <c r="H121" s="23">
        <v>7078.5</v>
      </c>
      <c r="I121" s="23">
        <v>4996.8100000000004</v>
      </c>
      <c r="J121" s="23">
        <v>2081.69</v>
      </c>
      <c r="K121" s="13" t="s">
        <v>56</v>
      </c>
      <c r="L121" s="24" t="s">
        <v>57</v>
      </c>
    </row>
    <row r="122" spans="1:12" x14ac:dyDescent="0.3">
      <c r="A122" s="25" t="s">
        <v>66</v>
      </c>
      <c r="B122" s="26">
        <v>45852</v>
      </c>
      <c r="C122" s="27" t="s">
        <v>59</v>
      </c>
      <c r="D122" s="27" t="s">
        <v>67</v>
      </c>
      <c r="E122" s="27" t="s">
        <v>68</v>
      </c>
      <c r="F122" s="27">
        <v>4</v>
      </c>
      <c r="G122" s="28">
        <v>105.42</v>
      </c>
      <c r="H122" s="28">
        <v>421.68</v>
      </c>
      <c r="I122" s="28">
        <v>261.85000000000002</v>
      </c>
      <c r="J122" s="28">
        <v>159.83000000000001</v>
      </c>
      <c r="K122" s="27" t="s">
        <v>69</v>
      </c>
      <c r="L122" s="29" t="s">
        <v>65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21"/>
  <sheetViews>
    <sheetView showGridLines="0" workbookViewId="0">
      <pane ySplit="1" topLeftCell="A97" activePane="bottomLeft" state="frozen"/>
      <selection pane="bottomLeft" activeCell="N103" sqref="N103"/>
    </sheetView>
  </sheetViews>
  <sheetFormatPr defaultRowHeight="14.4" x14ac:dyDescent="0.3"/>
  <cols>
    <col min="1" max="1" width="14" customWidth="1"/>
    <col min="2" max="2" width="15" customWidth="1"/>
    <col min="3" max="3" width="14" customWidth="1"/>
    <col min="4" max="4" width="22" customWidth="1"/>
    <col min="5" max="5" width="18" customWidth="1"/>
    <col min="6" max="6" width="10" customWidth="1"/>
    <col min="7" max="10" width="14" customWidth="1"/>
    <col min="11" max="11" width="16" customWidth="1"/>
    <col min="12" max="12" width="18" customWidth="1"/>
  </cols>
  <sheetData>
    <row r="1" spans="1:12" x14ac:dyDescent="0.3">
      <c r="A1" s="18" t="s">
        <v>40</v>
      </c>
      <c r="B1" s="19" t="s">
        <v>41</v>
      </c>
      <c r="C1" s="19" t="s">
        <v>42</v>
      </c>
      <c r="D1" s="19" t="s">
        <v>43</v>
      </c>
      <c r="E1" s="19" t="s">
        <v>44</v>
      </c>
      <c r="F1" s="19" t="s">
        <v>45</v>
      </c>
      <c r="G1" s="19" t="s">
        <v>46</v>
      </c>
      <c r="H1" s="19" t="s">
        <v>47</v>
      </c>
      <c r="I1" s="19" t="s">
        <v>48</v>
      </c>
      <c r="J1" s="19" t="s">
        <v>49</v>
      </c>
      <c r="K1" s="19" t="s">
        <v>50</v>
      </c>
      <c r="L1" s="20" t="s">
        <v>51</v>
      </c>
    </row>
    <row r="2" spans="1:12" x14ac:dyDescent="0.3">
      <c r="A2" s="21" t="str">
        <f>'Raw Data'!A2</f>
        <v>ORD0001</v>
      </c>
      <c r="B2" s="22">
        <f>'Raw Data'!B2</f>
        <v>45710</v>
      </c>
      <c r="C2" s="13" t="str">
        <f>'Raw Data'!C2</f>
        <v>South</v>
      </c>
      <c r="D2" s="13" t="str">
        <f>'Raw Data'!D2</f>
        <v>Office Supplies</v>
      </c>
      <c r="E2" s="13" t="str">
        <f>'Raw Data'!E2</f>
        <v>Notebook</v>
      </c>
      <c r="F2" s="13">
        <f>IF('Raw Data'!F2="",0,'Raw Data'!F2)</f>
        <v>1</v>
      </c>
      <c r="G2" s="23">
        <f>'Raw Data'!G2</f>
        <v>5.29</v>
      </c>
      <c r="H2" s="23">
        <f t="shared" ref="H2:H33" si="0">F2*G2</f>
        <v>5.29</v>
      </c>
      <c r="I2" s="23">
        <f>'Raw Data'!I2</f>
        <v>3.14</v>
      </c>
      <c r="J2" s="23">
        <f t="shared" ref="J2:J33" si="1">H2-I2</f>
        <v>2.15</v>
      </c>
      <c r="K2" s="13" t="str">
        <f>IF('Raw Data'!K2="","Unknown",'Raw Data'!K2)</f>
        <v>Jay</v>
      </c>
      <c r="L2" s="24" t="str">
        <f>'Raw Data'!L2</f>
        <v>New</v>
      </c>
    </row>
    <row r="3" spans="1:12" x14ac:dyDescent="0.3">
      <c r="A3" s="21" t="str">
        <f>'Raw Data'!A3</f>
        <v>ORD0002</v>
      </c>
      <c r="B3" s="22">
        <f>'Raw Data'!B3</f>
        <v>45945</v>
      </c>
      <c r="C3" s="13" t="str">
        <f>'Raw Data'!C3</f>
        <v>North</v>
      </c>
      <c r="D3" s="13" t="str">
        <f>'Raw Data'!D3</f>
        <v>Office Supplies</v>
      </c>
      <c r="E3" s="13" t="str">
        <f>'Raw Data'!E3</f>
        <v>Stapler</v>
      </c>
      <c r="F3" s="13">
        <f>IF('Raw Data'!F3="",0,'Raw Data'!F3)</f>
        <v>1</v>
      </c>
      <c r="G3" s="23">
        <f>'Raw Data'!G3</f>
        <v>8.8699999999999992</v>
      </c>
      <c r="H3" s="23">
        <f t="shared" si="0"/>
        <v>8.8699999999999992</v>
      </c>
      <c r="I3" s="23">
        <f>'Raw Data'!I3</f>
        <v>5.19</v>
      </c>
      <c r="J3" s="23">
        <f t="shared" si="1"/>
        <v>3.6799999999999988</v>
      </c>
      <c r="K3" s="13" t="str">
        <f>IF('Raw Data'!K3="","Unknown",'Raw Data'!K3)</f>
        <v>Ravi</v>
      </c>
      <c r="L3" s="24" t="str">
        <f>'Raw Data'!L3</f>
        <v>Business</v>
      </c>
    </row>
    <row r="4" spans="1:12" x14ac:dyDescent="0.3">
      <c r="A4" s="21" t="str">
        <f>'Raw Data'!A4</f>
        <v>ORD0003</v>
      </c>
      <c r="B4" s="22">
        <f>'Raw Data'!B4</f>
        <v>45739</v>
      </c>
      <c r="C4" s="13" t="str">
        <f>'Raw Data'!C4</f>
        <v>North</v>
      </c>
      <c r="D4" s="13" t="str">
        <f>'Raw Data'!D4</f>
        <v>Office Supplies</v>
      </c>
      <c r="E4" s="13" t="str">
        <f>'Raw Data'!E4</f>
        <v>Stapler</v>
      </c>
      <c r="F4" s="13">
        <f>IF('Raw Data'!F4="",0,'Raw Data'!F4)</f>
        <v>4</v>
      </c>
      <c r="G4" s="23">
        <f>'Raw Data'!G4</f>
        <v>9.8800000000000008</v>
      </c>
      <c r="H4" s="23">
        <f t="shared" si="0"/>
        <v>39.520000000000003</v>
      </c>
      <c r="I4" s="23">
        <f>'Raw Data'!I4</f>
        <v>23.85</v>
      </c>
      <c r="J4" s="23">
        <f t="shared" si="1"/>
        <v>15.670000000000002</v>
      </c>
      <c r="K4" s="13" t="str">
        <f>IF('Raw Data'!K4="","Unknown",'Raw Data'!K4)</f>
        <v>Kiran</v>
      </c>
      <c r="L4" s="24" t="str">
        <f>'Raw Data'!L4</f>
        <v>Returning</v>
      </c>
    </row>
    <row r="5" spans="1:12" x14ac:dyDescent="0.3">
      <c r="A5" s="21" t="str">
        <f>'Raw Data'!A5</f>
        <v>ORD0004</v>
      </c>
      <c r="B5" s="22">
        <f>'Raw Data'!B5</f>
        <v>45852</v>
      </c>
      <c r="C5" s="13" t="str">
        <f>'Raw Data'!C5</f>
        <v>North</v>
      </c>
      <c r="D5" s="13" t="str">
        <f>'Raw Data'!D5</f>
        <v>Furniture</v>
      </c>
      <c r="E5" s="13" t="str">
        <f>'Raw Data'!E5</f>
        <v>Chair</v>
      </c>
      <c r="F5" s="13">
        <f>IF('Raw Data'!F5="",0,'Raw Data'!F5)</f>
        <v>4</v>
      </c>
      <c r="G5" s="23">
        <f>'Raw Data'!G5</f>
        <v>105.42</v>
      </c>
      <c r="H5" s="23">
        <f t="shared" si="0"/>
        <v>421.68</v>
      </c>
      <c r="I5" s="23">
        <f>'Raw Data'!I5</f>
        <v>261.85000000000002</v>
      </c>
      <c r="J5" s="23">
        <f t="shared" si="1"/>
        <v>159.82999999999998</v>
      </c>
      <c r="K5" s="13" t="str">
        <f>IF('Raw Data'!K5="","Unknown",'Raw Data'!K5)</f>
        <v>Asha</v>
      </c>
      <c r="L5" s="24" t="str">
        <f>'Raw Data'!L5</f>
        <v>Returning</v>
      </c>
    </row>
    <row r="6" spans="1:12" x14ac:dyDescent="0.3">
      <c r="A6" s="21" t="str">
        <f>'Raw Data'!A6</f>
        <v>ORD0005</v>
      </c>
      <c r="B6" s="22">
        <f>'Raw Data'!B6</f>
        <v>45851</v>
      </c>
      <c r="C6" s="13" t="str">
        <f>'Raw Data'!C6</f>
        <v>North</v>
      </c>
      <c r="D6" s="13" t="str">
        <f>'Raw Data'!D6</f>
        <v>Furniture</v>
      </c>
      <c r="E6" s="13" t="str">
        <f>'Raw Data'!E6</f>
        <v>Bookshelf</v>
      </c>
      <c r="F6" s="13">
        <f>IF('Raw Data'!F6="",0,'Raw Data'!F6)</f>
        <v>13</v>
      </c>
      <c r="G6" s="23">
        <f>'Raw Data'!G6</f>
        <v>124.66</v>
      </c>
      <c r="H6" s="23">
        <f t="shared" si="0"/>
        <v>1620.58</v>
      </c>
      <c r="I6" s="23">
        <f>'Raw Data'!I6</f>
        <v>1066.06</v>
      </c>
      <c r="J6" s="23">
        <f t="shared" si="1"/>
        <v>554.52</v>
      </c>
      <c r="K6" s="13" t="str">
        <f>IF('Raw Data'!K6="","Unknown",'Raw Data'!K6)</f>
        <v>Asha</v>
      </c>
      <c r="L6" s="24" t="str">
        <f>'Raw Data'!L6</f>
        <v>Business</v>
      </c>
    </row>
    <row r="7" spans="1:12" x14ac:dyDescent="0.3">
      <c r="A7" s="21" t="str">
        <f>'Raw Data'!A7</f>
        <v>ORD0006</v>
      </c>
      <c r="B7" s="22">
        <f>'Raw Data'!B7</f>
        <v>45806</v>
      </c>
      <c r="C7" s="13" t="str">
        <f>'Raw Data'!C7</f>
        <v>South</v>
      </c>
      <c r="D7" s="13" t="str">
        <f>'Raw Data'!D7</f>
        <v>Furniture</v>
      </c>
      <c r="E7" s="13" t="str">
        <f>'Raw Data'!E7</f>
        <v>Bookshelf</v>
      </c>
      <c r="F7" s="13">
        <f>IF('Raw Data'!F7="",0,'Raw Data'!F7)</f>
        <v>10</v>
      </c>
      <c r="G7" s="23">
        <f>'Raw Data'!G7</f>
        <v>129.66</v>
      </c>
      <c r="H7" s="23">
        <f t="shared" si="0"/>
        <v>1296.5999999999999</v>
      </c>
      <c r="I7" s="23">
        <f>'Raw Data'!I7</f>
        <v>701.29</v>
      </c>
      <c r="J7" s="23">
        <f t="shared" si="1"/>
        <v>595.30999999999995</v>
      </c>
      <c r="K7" s="13" t="str">
        <f>IF('Raw Data'!K7="","Unknown",'Raw Data'!K7)</f>
        <v>Asha</v>
      </c>
      <c r="L7" s="24" t="str">
        <f>'Raw Data'!L7</f>
        <v>New</v>
      </c>
    </row>
    <row r="8" spans="1:12" x14ac:dyDescent="0.3">
      <c r="A8" s="21" t="str">
        <f>'Raw Data'!A8</f>
        <v>ORD0007</v>
      </c>
      <c r="B8" s="22">
        <f>'Raw Data'!B8</f>
        <v>45847</v>
      </c>
      <c r="C8" s="13" t="str">
        <f>'Raw Data'!C8</f>
        <v>South</v>
      </c>
      <c r="D8" s="13" t="str">
        <f>'Raw Data'!D8</f>
        <v>Electronics</v>
      </c>
      <c r="E8" s="13" t="str">
        <f>'Raw Data'!E8</f>
        <v>Keyboard</v>
      </c>
      <c r="F8" s="13">
        <f>IF('Raw Data'!F8="",0,'Raw Data'!F8)</f>
        <v>5</v>
      </c>
      <c r="G8" s="23">
        <f>'Raw Data'!G8</f>
        <v>34.61</v>
      </c>
      <c r="H8" s="23">
        <f t="shared" si="0"/>
        <v>173.05</v>
      </c>
      <c r="I8" s="23">
        <f>'Raw Data'!I8</f>
        <v>133.29</v>
      </c>
      <c r="J8" s="23">
        <f t="shared" si="1"/>
        <v>39.760000000000019</v>
      </c>
      <c r="K8" s="13" t="str">
        <f>IF('Raw Data'!K8="","Unknown",'Raw Data'!K8)</f>
        <v>Neha</v>
      </c>
      <c r="L8" s="24" t="str">
        <f>'Raw Data'!L8</f>
        <v>New</v>
      </c>
    </row>
    <row r="9" spans="1:12" x14ac:dyDescent="0.3">
      <c r="A9" s="21" t="str">
        <f>'Raw Data'!A9</f>
        <v>ORD0008</v>
      </c>
      <c r="B9" s="22">
        <f>'Raw Data'!B9</f>
        <v>45931</v>
      </c>
      <c r="C9" s="13" t="str">
        <f>'Raw Data'!C9</f>
        <v>South</v>
      </c>
      <c r="D9" s="13" t="str">
        <f>'Raw Data'!D9</f>
        <v>Office Supplies</v>
      </c>
      <c r="E9" s="13" t="str">
        <f>'Raw Data'!E9</f>
        <v>Printer Paper</v>
      </c>
      <c r="F9" s="13">
        <f>IF('Raw Data'!F9="",0,'Raw Data'!F9)</f>
        <v>12</v>
      </c>
      <c r="G9" s="23">
        <f>'Raw Data'!G9</f>
        <v>8.84</v>
      </c>
      <c r="H9" s="23">
        <f t="shared" si="0"/>
        <v>106.08</v>
      </c>
      <c r="I9" s="23">
        <f>'Raw Data'!I9</f>
        <v>75.78</v>
      </c>
      <c r="J9" s="23">
        <f t="shared" si="1"/>
        <v>30.299999999999997</v>
      </c>
      <c r="K9" s="13" t="str">
        <f>IF('Raw Data'!K9="","Unknown",'Raw Data'!K9)</f>
        <v>Ravi</v>
      </c>
      <c r="L9" s="24" t="str">
        <f>'Raw Data'!L9</f>
        <v>New</v>
      </c>
    </row>
    <row r="10" spans="1:12" x14ac:dyDescent="0.3">
      <c r="A10" s="21" t="str">
        <f>'Raw Data'!A10</f>
        <v>ORD0009</v>
      </c>
      <c r="B10" s="22">
        <f>'Raw Data'!B10</f>
        <v>46008</v>
      </c>
      <c r="C10" s="13" t="str">
        <f>'Raw Data'!C10</f>
        <v>South</v>
      </c>
      <c r="D10" s="13" t="str">
        <f>'Raw Data'!D10</f>
        <v>Furniture</v>
      </c>
      <c r="E10" s="13" t="str">
        <f>'Raw Data'!E10</f>
        <v>Cabinet</v>
      </c>
      <c r="F10" s="13">
        <f>IF('Raw Data'!F10="",0,'Raw Data'!F10)</f>
        <v>5</v>
      </c>
      <c r="G10" s="23">
        <f>'Raw Data'!G10</f>
        <v>178.8</v>
      </c>
      <c r="H10" s="23">
        <f t="shared" si="0"/>
        <v>894</v>
      </c>
      <c r="I10" s="23">
        <f>'Raw Data'!I10</f>
        <v>636.53</v>
      </c>
      <c r="J10" s="23">
        <f t="shared" si="1"/>
        <v>257.47000000000003</v>
      </c>
      <c r="K10" s="13" t="str">
        <f>IF('Raw Data'!K10="","Unknown",'Raw Data'!K10)</f>
        <v>Neha</v>
      </c>
      <c r="L10" s="24" t="str">
        <f>'Raw Data'!L10</f>
        <v>New</v>
      </c>
    </row>
    <row r="11" spans="1:12" x14ac:dyDescent="0.3">
      <c r="A11" s="21" t="str">
        <f>'Raw Data'!A11</f>
        <v>ORD0010</v>
      </c>
      <c r="B11" s="22">
        <f>'Raw Data'!B11</f>
        <v>45948</v>
      </c>
      <c r="C11" s="13" t="str">
        <f>'Raw Data'!C11</f>
        <v>South</v>
      </c>
      <c r="D11" s="13" t="str">
        <f>'Raw Data'!D11</f>
        <v>Electronics</v>
      </c>
      <c r="E11" s="13" t="str">
        <f>'Raw Data'!E11</f>
        <v>Laptop</v>
      </c>
      <c r="F11" s="13">
        <f>IF('Raw Data'!F11="",0,'Raw Data'!F11)</f>
        <v>13</v>
      </c>
      <c r="G11" s="23">
        <f>'Raw Data'!G11</f>
        <v>621.21</v>
      </c>
      <c r="H11" s="23">
        <f t="shared" si="0"/>
        <v>8075.7300000000005</v>
      </c>
      <c r="I11" s="23">
        <f>'Raw Data'!I11</f>
        <v>4848.04</v>
      </c>
      <c r="J11" s="23">
        <f t="shared" si="1"/>
        <v>3227.6900000000005</v>
      </c>
      <c r="K11" s="13" t="str">
        <f>IF('Raw Data'!K11="","Unknown",'Raw Data'!K11)</f>
        <v>Neha</v>
      </c>
      <c r="L11" s="24" t="str">
        <f>'Raw Data'!L11</f>
        <v>New</v>
      </c>
    </row>
    <row r="12" spans="1:12" x14ac:dyDescent="0.3">
      <c r="A12" s="21" t="str">
        <f>'Raw Data'!A12</f>
        <v>ORD0011</v>
      </c>
      <c r="B12" s="22">
        <f>'Raw Data'!B12</f>
        <v>45793</v>
      </c>
      <c r="C12" s="13" t="str">
        <f>'Raw Data'!C12</f>
        <v>South</v>
      </c>
      <c r="D12" s="13" t="str">
        <f>'Raw Data'!D12</f>
        <v>Office Supplies</v>
      </c>
      <c r="E12" s="13" t="str">
        <f>'Raw Data'!E12</f>
        <v>Stapler</v>
      </c>
      <c r="F12" s="13">
        <f>IF('Raw Data'!F12="",0,'Raw Data'!F12)</f>
        <v>7</v>
      </c>
      <c r="G12" s="23">
        <f>'Raw Data'!G12</f>
        <v>10.92</v>
      </c>
      <c r="H12" s="23">
        <f t="shared" si="0"/>
        <v>76.44</v>
      </c>
      <c r="I12" s="23">
        <f>'Raw Data'!I12</f>
        <v>54.49</v>
      </c>
      <c r="J12" s="23">
        <f t="shared" si="1"/>
        <v>21.949999999999996</v>
      </c>
      <c r="K12" s="13" t="str">
        <f>IF('Raw Data'!K12="","Unknown",'Raw Data'!K12)</f>
        <v>Ravi</v>
      </c>
      <c r="L12" s="24" t="str">
        <f>'Raw Data'!L12</f>
        <v>New</v>
      </c>
    </row>
    <row r="13" spans="1:12" x14ac:dyDescent="0.3">
      <c r="A13" s="21" t="str">
        <f>'Raw Data'!A13</f>
        <v>ORD0012</v>
      </c>
      <c r="B13" s="22">
        <f>'Raw Data'!B13</f>
        <v>45843</v>
      </c>
      <c r="C13" s="13" t="str">
        <f>'Raw Data'!C13</f>
        <v>West</v>
      </c>
      <c r="D13" s="13" t="str">
        <f>'Raw Data'!D13</f>
        <v>Office Supplies</v>
      </c>
      <c r="E13" s="13" t="str">
        <f>'Raw Data'!E13</f>
        <v>Printer Paper</v>
      </c>
      <c r="F13" s="13">
        <f>IF('Raw Data'!F13="",0,'Raw Data'!F13)</f>
        <v>12</v>
      </c>
      <c r="G13" s="23">
        <f>'Raw Data'!G13</f>
        <v>8.16</v>
      </c>
      <c r="H13" s="23">
        <f t="shared" si="0"/>
        <v>97.92</v>
      </c>
      <c r="I13" s="23">
        <f>'Raw Data'!I13</f>
        <v>77.290000000000006</v>
      </c>
      <c r="J13" s="23">
        <f t="shared" si="1"/>
        <v>20.629999999999995</v>
      </c>
      <c r="K13" s="13" t="str">
        <f>IF('Raw Data'!K13="","Unknown",'Raw Data'!K13)</f>
        <v>Ravi</v>
      </c>
      <c r="L13" s="24" t="str">
        <f>'Raw Data'!L13</f>
        <v>New</v>
      </c>
    </row>
    <row r="14" spans="1:12" x14ac:dyDescent="0.3">
      <c r="A14" s="21" t="str">
        <f>'Raw Data'!A14</f>
        <v>ORD0013</v>
      </c>
      <c r="B14" s="22">
        <f>'Raw Data'!B14</f>
        <v>45979</v>
      </c>
      <c r="C14" s="13" t="str">
        <f>'Raw Data'!C14</f>
        <v>South</v>
      </c>
      <c r="D14" s="13" t="str">
        <f>'Raw Data'!D14</f>
        <v>Office Supplies</v>
      </c>
      <c r="E14" s="13" t="str">
        <f>'Raw Data'!E14</f>
        <v>Stapler</v>
      </c>
      <c r="F14" s="13">
        <f>IF('Raw Data'!F14="",0,'Raw Data'!F14)</f>
        <v>2</v>
      </c>
      <c r="G14" s="23">
        <f>'Raw Data'!G14</f>
        <v>10.61</v>
      </c>
      <c r="H14" s="23">
        <f t="shared" si="0"/>
        <v>21.22</v>
      </c>
      <c r="I14" s="23">
        <f>'Raw Data'!I14</f>
        <v>16.52</v>
      </c>
      <c r="J14" s="23">
        <f t="shared" si="1"/>
        <v>4.6999999999999993</v>
      </c>
      <c r="K14" s="13" t="str">
        <f>IF('Raw Data'!K14="","Unknown",'Raw Data'!K14)</f>
        <v>Ravi</v>
      </c>
      <c r="L14" s="24" t="str">
        <f>'Raw Data'!L14</f>
        <v>Business</v>
      </c>
    </row>
    <row r="15" spans="1:12" x14ac:dyDescent="0.3">
      <c r="A15" s="21" t="str">
        <f>'Raw Data'!A15</f>
        <v>ORD0014</v>
      </c>
      <c r="B15" s="22">
        <f>'Raw Data'!B15</f>
        <v>45941</v>
      </c>
      <c r="C15" s="13" t="str">
        <f>'Raw Data'!C15</f>
        <v>East</v>
      </c>
      <c r="D15" s="13" t="str">
        <f>'Raw Data'!D15</f>
        <v>Furniture</v>
      </c>
      <c r="E15" s="13" t="str">
        <f>'Raw Data'!E15</f>
        <v>Desk</v>
      </c>
      <c r="F15" s="13">
        <f>IF('Raw Data'!F15="",0,'Raw Data'!F15)</f>
        <v>7</v>
      </c>
      <c r="G15" s="23">
        <f>'Raw Data'!G15</f>
        <v>174.89</v>
      </c>
      <c r="H15" s="23">
        <f t="shared" si="0"/>
        <v>1224.23</v>
      </c>
      <c r="I15" s="23">
        <f>'Raw Data'!I15</f>
        <v>1002.44</v>
      </c>
      <c r="J15" s="23">
        <f t="shared" si="1"/>
        <v>221.78999999999996</v>
      </c>
      <c r="K15" s="13" t="str">
        <f>IF('Raw Data'!K15="","Unknown",'Raw Data'!K15)</f>
        <v>Asha</v>
      </c>
      <c r="L15" s="24" t="str">
        <f>'Raw Data'!L15</f>
        <v>Business</v>
      </c>
    </row>
    <row r="16" spans="1:12" x14ac:dyDescent="0.3">
      <c r="A16" s="21" t="str">
        <f>'Raw Data'!A16</f>
        <v>ORD0015</v>
      </c>
      <c r="B16" s="22">
        <f>'Raw Data'!B16</f>
        <v>45715</v>
      </c>
      <c r="C16" s="13" t="str">
        <f>'Raw Data'!C16</f>
        <v>East</v>
      </c>
      <c r="D16" s="13" t="str">
        <f>'Raw Data'!D16</f>
        <v>Office Supplies</v>
      </c>
      <c r="E16" s="13" t="str">
        <f>'Raw Data'!E16</f>
        <v>Notebook</v>
      </c>
      <c r="F16" s="13">
        <f>IF('Raw Data'!F16="",0,'Raw Data'!F16)</f>
        <v>11</v>
      </c>
      <c r="G16" s="23">
        <f>'Raw Data'!G16</f>
        <v>5.46</v>
      </c>
      <c r="H16" s="23">
        <f t="shared" si="0"/>
        <v>60.06</v>
      </c>
      <c r="I16" s="23">
        <f>'Raw Data'!I16</f>
        <v>44.76</v>
      </c>
      <c r="J16" s="23">
        <f t="shared" si="1"/>
        <v>15.300000000000004</v>
      </c>
      <c r="K16" s="13" t="str">
        <f>IF('Raw Data'!K16="","Unknown",'Raw Data'!K16)</f>
        <v>Neha</v>
      </c>
      <c r="L16" s="24" t="str">
        <f>'Raw Data'!L16</f>
        <v>Returning</v>
      </c>
    </row>
    <row r="17" spans="1:12" x14ac:dyDescent="0.3">
      <c r="A17" s="21" t="str">
        <f>'Raw Data'!A17</f>
        <v>ORD0016</v>
      </c>
      <c r="B17" s="22">
        <f>'Raw Data'!B17</f>
        <v>45914</v>
      </c>
      <c r="C17" s="13" t="str">
        <f>'Raw Data'!C17</f>
        <v>East</v>
      </c>
      <c r="D17" s="13" t="str">
        <f>'Raw Data'!D17</f>
        <v>Electronics</v>
      </c>
      <c r="E17" s="13" t="str">
        <f>'Raw Data'!E17</f>
        <v>Keyboard</v>
      </c>
      <c r="F17" s="13">
        <f>IF('Raw Data'!F17="",0,'Raw Data'!F17)</f>
        <v>1</v>
      </c>
      <c r="G17" s="23">
        <f>'Raw Data'!G17</f>
        <v>38.81</v>
      </c>
      <c r="H17" s="23">
        <f t="shared" si="0"/>
        <v>38.81</v>
      </c>
      <c r="I17" s="23">
        <f>'Raw Data'!I17</f>
        <v>30.38</v>
      </c>
      <c r="J17" s="23">
        <f t="shared" si="1"/>
        <v>8.4300000000000033</v>
      </c>
      <c r="K17" s="13" t="str">
        <f>IF('Raw Data'!K17="","Unknown",'Raw Data'!K17)</f>
        <v>Ravi</v>
      </c>
      <c r="L17" s="24" t="str">
        <f>'Raw Data'!L17</f>
        <v>Business</v>
      </c>
    </row>
    <row r="18" spans="1:12" x14ac:dyDescent="0.3">
      <c r="A18" s="21" t="str">
        <f>'Raw Data'!A18</f>
        <v>ORD0017</v>
      </c>
      <c r="B18" s="22">
        <f>'Raw Data'!B18</f>
        <v>45849</v>
      </c>
      <c r="C18" s="13" t="str">
        <f>'Raw Data'!C18</f>
        <v>South</v>
      </c>
      <c r="D18" s="13" t="str">
        <f>'Raw Data'!D18</f>
        <v>Electronics</v>
      </c>
      <c r="E18" s="13" t="str">
        <f>'Raw Data'!E18</f>
        <v>Monitor</v>
      </c>
      <c r="F18" s="13">
        <f>IF('Raw Data'!F18="",0,'Raw Data'!F18)</f>
        <v>14</v>
      </c>
      <c r="G18" s="23">
        <f>'Raw Data'!G18</f>
        <v>227.34</v>
      </c>
      <c r="H18" s="23">
        <f t="shared" si="0"/>
        <v>3182.76</v>
      </c>
      <c r="I18" s="23">
        <f>'Raw Data'!I18</f>
        <v>2236.5</v>
      </c>
      <c r="J18" s="23">
        <f t="shared" si="1"/>
        <v>946.26000000000022</v>
      </c>
      <c r="K18" s="13" t="str">
        <f>IF('Raw Data'!K18="","Unknown",'Raw Data'!K18)</f>
        <v>Unknown</v>
      </c>
      <c r="L18" s="24" t="str">
        <f>'Raw Data'!L18</f>
        <v>Business</v>
      </c>
    </row>
    <row r="19" spans="1:12" x14ac:dyDescent="0.3">
      <c r="A19" s="21" t="str">
        <f>'Raw Data'!A19</f>
        <v>ORD0018</v>
      </c>
      <c r="B19" s="22">
        <f>'Raw Data'!B19</f>
        <v>45815</v>
      </c>
      <c r="C19" s="13" t="str">
        <f>'Raw Data'!C19</f>
        <v>East</v>
      </c>
      <c r="D19" s="13" t="str">
        <f>'Raw Data'!D19</f>
        <v>Office Supplies</v>
      </c>
      <c r="E19" s="13" t="str">
        <f>'Raw Data'!E19</f>
        <v>Notebook</v>
      </c>
      <c r="F19" s="13">
        <f>IF('Raw Data'!F19="",0,'Raw Data'!F19)</f>
        <v>10</v>
      </c>
      <c r="G19" s="23">
        <f>'Raw Data'!G19</f>
        <v>4.79</v>
      </c>
      <c r="H19" s="23">
        <f t="shared" si="0"/>
        <v>47.9</v>
      </c>
      <c r="I19" s="23">
        <f>'Raw Data'!I19</f>
        <v>25.19</v>
      </c>
      <c r="J19" s="23">
        <f t="shared" si="1"/>
        <v>22.709999999999997</v>
      </c>
      <c r="K19" s="13" t="str">
        <f>IF('Raw Data'!K19="","Unknown",'Raw Data'!K19)</f>
        <v>Ravi</v>
      </c>
      <c r="L19" s="24" t="str">
        <f>'Raw Data'!L19</f>
        <v>New</v>
      </c>
    </row>
    <row r="20" spans="1:12" x14ac:dyDescent="0.3">
      <c r="A20" s="21" t="str">
        <f>'Raw Data'!A20</f>
        <v>ORD0019</v>
      </c>
      <c r="B20" s="22">
        <f>'Raw Data'!B20</f>
        <v>45723</v>
      </c>
      <c r="C20" s="13" t="str">
        <f>'Raw Data'!C20</f>
        <v>South</v>
      </c>
      <c r="D20" s="13" t="str">
        <f>'Raw Data'!D20</f>
        <v>Electronics</v>
      </c>
      <c r="E20" s="13" t="str">
        <f>'Raw Data'!E20</f>
        <v>Laptop</v>
      </c>
      <c r="F20" s="13">
        <f>IF('Raw Data'!F20="",0,'Raw Data'!F20)</f>
        <v>2</v>
      </c>
      <c r="G20" s="23">
        <f>'Raw Data'!G20</f>
        <v>686.18</v>
      </c>
      <c r="H20" s="23">
        <f t="shared" si="0"/>
        <v>1372.36</v>
      </c>
      <c r="I20" s="23">
        <f>'Raw Data'!I20</f>
        <v>1049.5899999999999</v>
      </c>
      <c r="J20" s="23">
        <f t="shared" si="1"/>
        <v>322.77</v>
      </c>
      <c r="K20" s="13" t="str">
        <f>IF('Raw Data'!K20="","Unknown",'Raw Data'!K20)</f>
        <v>Kiran</v>
      </c>
      <c r="L20" s="24" t="str">
        <f>'Raw Data'!L20</f>
        <v>Business</v>
      </c>
    </row>
    <row r="21" spans="1:12" x14ac:dyDescent="0.3">
      <c r="A21" s="21" t="str">
        <f>'Raw Data'!A21</f>
        <v>ORD0020</v>
      </c>
      <c r="B21" s="22">
        <f>'Raw Data'!B21</f>
        <v>45934</v>
      </c>
      <c r="C21" s="13" t="str">
        <f>'Raw Data'!C21</f>
        <v>South</v>
      </c>
      <c r="D21" s="13" t="str">
        <f>'Raw Data'!D21</f>
        <v>Electronics</v>
      </c>
      <c r="E21" s="13" t="str">
        <f>'Raw Data'!E21</f>
        <v>Monitor</v>
      </c>
      <c r="F21" s="13">
        <f>IF('Raw Data'!F21="",0,'Raw Data'!F21)</f>
        <v>9</v>
      </c>
      <c r="G21" s="23">
        <f>'Raw Data'!G21</f>
        <v>239.66</v>
      </c>
      <c r="H21" s="23">
        <f t="shared" si="0"/>
        <v>2156.94</v>
      </c>
      <c r="I21" s="23">
        <f>'Raw Data'!I21</f>
        <v>1395.41</v>
      </c>
      <c r="J21" s="23">
        <f t="shared" si="1"/>
        <v>761.53</v>
      </c>
      <c r="K21" s="13" t="str">
        <f>IF('Raw Data'!K21="","Unknown",'Raw Data'!K21)</f>
        <v>Ravi</v>
      </c>
      <c r="L21" s="24" t="str">
        <f>'Raw Data'!L21</f>
        <v>Business</v>
      </c>
    </row>
    <row r="22" spans="1:12" x14ac:dyDescent="0.3">
      <c r="A22" s="21" t="str">
        <f>'Raw Data'!A22</f>
        <v>ORD0021</v>
      </c>
      <c r="B22" s="22">
        <f>'Raw Data'!B22</f>
        <v>45719</v>
      </c>
      <c r="C22" s="13" t="str">
        <f>'Raw Data'!C22</f>
        <v>West</v>
      </c>
      <c r="D22" s="13" t="str">
        <f>'Raw Data'!D22</f>
        <v>Furniture</v>
      </c>
      <c r="E22" s="13" t="str">
        <f>'Raw Data'!E22</f>
        <v>Cabinet</v>
      </c>
      <c r="F22" s="13">
        <f>IF('Raw Data'!F22="",0,'Raw Data'!F22)</f>
        <v>11</v>
      </c>
      <c r="G22" s="23">
        <f>'Raw Data'!G22</f>
        <v>165.76</v>
      </c>
      <c r="H22" s="23">
        <f t="shared" si="0"/>
        <v>1823.36</v>
      </c>
      <c r="I22" s="23">
        <f>'Raw Data'!I22</f>
        <v>1187.79</v>
      </c>
      <c r="J22" s="23">
        <f t="shared" si="1"/>
        <v>635.56999999999994</v>
      </c>
      <c r="K22" s="13" t="str">
        <f>IF('Raw Data'!K22="","Unknown",'Raw Data'!K22)</f>
        <v>Ravi</v>
      </c>
      <c r="L22" s="24" t="str">
        <f>'Raw Data'!L22</f>
        <v>New</v>
      </c>
    </row>
    <row r="23" spans="1:12" x14ac:dyDescent="0.3">
      <c r="A23" s="21" t="str">
        <f>'Raw Data'!A23</f>
        <v>ORD0022</v>
      </c>
      <c r="B23" s="22">
        <f>'Raw Data'!B23</f>
        <v>45661</v>
      </c>
      <c r="C23" s="13" t="str">
        <f>'Raw Data'!C23</f>
        <v>South</v>
      </c>
      <c r="D23" s="13" t="str">
        <f>'Raw Data'!D23</f>
        <v>Electronics</v>
      </c>
      <c r="E23" s="13" t="str">
        <f>'Raw Data'!E23</f>
        <v>Monitor</v>
      </c>
      <c r="F23" s="13">
        <f>IF('Raw Data'!F23="",0,'Raw Data'!F23)</f>
        <v>1</v>
      </c>
      <c r="G23" s="23">
        <f>'Raw Data'!G23</f>
        <v>224.66</v>
      </c>
      <c r="H23" s="23">
        <f t="shared" si="0"/>
        <v>224.66</v>
      </c>
      <c r="I23" s="23">
        <f>'Raw Data'!I23</f>
        <v>132.33000000000001</v>
      </c>
      <c r="J23" s="23">
        <f t="shared" si="1"/>
        <v>92.329999999999984</v>
      </c>
      <c r="K23" s="13" t="str">
        <f>IF('Raw Data'!K23="","Unknown",'Raw Data'!K23)</f>
        <v>Asha</v>
      </c>
      <c r="L23" s="24" t="str">
        <f>'Raw Data'!L23</f>
        <v>Business</v>
      </c>
    </row>
    <row r="24" spans="1:12" x14ac:dyDescent="0.3">
      <c r="A24" s="21" t="str">
        <f>'Raw Data'!A24</f>
        <v>ORD0023</v>
      </c>
      <c r="B24" s="22">
        <f>'Raw Data'!B24</f>
        <v>45694</v>
      </c>
      <c r="C24" s="13" t="str">
        <f>'Raw Data'!C24</f>
        <v>East</v>
      </c>
      <c r="D24" s="13" t="str">
        <f>'Raw Data'!D24</f>
        <v>Office Supplies</v>
      </c>
      <c r="E24" s="13" t="str">
        <f>'Raw Data'!E24</f>
        <v>Notebook</v>
      </c>
      <c r="F24" s="13">
        <f>IF('Raw Data'!F24="",0,'Raw Data'!F24)</f>
        <v>4</v>
      </c>
      <c r="G24" s="23">
        <f>'Raw Data'!G24</f>
        <v>4.4800000000000004</v>
      </c>
      <c r="H24" s="23">
        <f t="shared" si="0"/>
        <v>17.920000000000002</v>
      </c>
      <c r="I24" s="23">
        <f>'Raw Data'!I24</f>
        <v>9.49</v>
      </c>
      <c r="J24" s="23">
        <f t="shared" si="1"/>
        <v>8.4300000000000015</v>
      </c>
      <c r="K24" s="13" t="str">
        <f>IF('Raw Data'!K24="","Unknown",'Raw Data'!K24)</f>
        <v>Jay</v>
      </c>
      <c r="L24" s="24" t="str">
        <f>'Raw Data'!L24</f>
        <v>New</v>
      </c>
    </row>
    <row r="25" spans="1:12" x14ac:dyDescent="0.3">
      <c r="A25" s="21" t="str">
        <f>'Raw Data'!A25</f>
        <v>ORD0024</v>
      </c>
      <c r="B25" s="22">
        <f>'Raw Data'!B25</f>
        <v>45782</v>
      </c>
      <c r="C25" s="13" t="str">
        <f>'Raw Data'!C25</f>
        <v>West</v>
      </c>
      <c r="D25" s="13" t="str">
        <f>'Raw Data'!D25</f>
        <v>Furniture</v>
      </c>
      <c r="E25" s="13" t="str">
        <f>'Raw Data'!E25</f>
        <v>Cabinet</v>
      </c>
      <c r="F25" s="13">
        <f>IF('Raw Data'!F25="",0,'Raw Data'!F25)</f>
        <v>0</v>
      </c>
      <c r="G25" s="23">
        <f>'Raw Data'!G25</f>
        <v>161.51</v>
      </c>
      <c r="H25" s="23">
        <f t="shared" si="0"/>
        <v>0</v>
      </c>
      <c r="I25" s="23">
        <f>'Raw Data'!I25</f>
        <v>476.14</v>
      </c>
      <c r="J25" s="23">
        <f t="shared" si="1"/>
        <v>-476.14</v>
      </c>
      <c r="K25" s="13" t="str">
        <f>IF('Raw Data'!K25="","Unknown",'Raw Data'!K25)</f>
        <v>Kiran</v>
      </c>
      <c r="L25" s="24" t="str">
        <f>'Raw Data'!L25</f>
        <v>Returning</v>
      </c>
    </row>
    <row r="26" spans="1:12" x14ac:dyDescent="0.3">
      <c r="A26" s="21" t="str">
        <f>'Raw Data'!A26</f>
        <v>ORD0025</v>
      </c>
      <c r="B26" s="22">
        <f>'Raw Data'!B26</f>
        <v>45897</v>
      </c>
      <c r="C26" s="13" t="str">
        <f>'Raw Data'!C26</f>
        <v>West</v>
      </c>
      <c r="D26" s="13" t="str">
        <f>'Raw Data'!D26</f>
        <v>Electronics</v>
      </c>
      <c r="E26" s="13" t="str">
        <f>'Raw Data'!E26</f>
        <v>Laptop</v>
      </c>
      <c r="F26" s="13">
        <f>IF('Raw Data'!F26="",0,'Raw Data'!F26)</f>
        <v>2</v>
      </c>
      <c r="G26" s="23">
        <f>'Raw Data'!G26</f>
        <v>674.8</v>
      </c>
      <c r="H26" s="23">
        <f t="shared" si="0"/>
        <v>1349.6</v>
      </c>
      <c r="I26" s="23">
        <f>'Raw Data'!I26</f>
        <v>845.24</v>
      </c>
      <c r="J26" s="23">
        <f t="shared" si="1"/>
        <v>504.3599999999999</v>
      </c>
      <c r="K26" s="13" t="str">
        <f>IF('Raw Data'!K26="","Unknown",'Raw Data'!K26)</f>
        <v>Asha</v>
      </c>
      <c r="L26" s="24" t="str">
        <f>'Raw Data'!L26</f>
        <v>Business</v>
      </c>
    </row>
    <row r="27" spans="1:12" x14ac:dyDescent="0.3">
      <c r="A27" s="21" t="str">
        <f>'Raw Data'!A27</f>
        <v>ORD0026</v>
      </c>
      <c r="B27" s="22">
        <f>'Raw Data'!B27</f>
        <v>45785</v>
      </c>
      <c r="C27" s="13" t="str">
        <f>'Raw Data'!C27</f>
        <v>North</v>
      </c>
      <c r="D27" s="13" t="str">
        <f>'Raw Data'!D27</f>
        <v>Office Supplies</v>
      </c>
      <c r="E27" s="13" t="str">
        <f>'Raw Data'!E27</f>
        <v>Notebook</v>
      </c>
      <c r="F27" s="13">
        <f>IF('Raw Data'!F27="",0,'Raw Data'!F27)</f>
        <v>1</v>
      </c>
      <c r="G27" s="23">
        <f>'Raw Data'!G27</f>
        <v>4.88</v>
      </c>
      <c r="H27" s="23">
        <f t="shared" si="0"/>
        <v>4.88</v>
      </c>
      <c r="I27" s="23">
        <f>'Raw Data'!I27</f>
        <v>3.03</v>
      </c>
      <c r="J27" s="23">
        <f t="shared" si="1"/>
        <v>1.85</v>
      </c>
      <c r="K27" s="13" t="str">
        <f>IF('Raw Data'!K27="","Unknown",'Raw Data'!K27)</f>
        <v>Ravi</v>
      </c>
      <c r="L27" s="24" t="str">
        <f>'Raw Data'!L27</f>
        <v>New</v>
      </c>
    </row>
    <row r="28" spans="1:12" x14ac:dyDescent="0.3">
      <c r="A28" s="21" t="str">
        <f>'Raw Data'!A28</f>
        <v>ORD0027</v>
      </c>
      <c r="B28" s="22">
        <f>'Raw Data'!B28</f>
        <v>45696</v>
      </c>
      <c r="C28" s="13" t="str">
        <f>'Raw Data'!C28</f>
        <v>South</v>
      </c>
      <c r="D28" s="13" t="str">
        <f>'Raw Data'!D28</f>
        <v>Office Supplies</v>
      </c>
      <c r="E28" s="13" t="str">
        <f>'Raw Data'!E28</f>
        <v>Stapler</v>
      </c>
      <c r="F28" s="13">
        <f>IF('Raw Data'!F28="",0,'Raw Data'!F28)</f>
        <v>3</v>
      </c>
      <c r="G28" s="23">
        <f>'Raw Data'!G28</f>
        <v>9.81</v>
      </c>
      <c r="H28" s="23">
        <f t="shared" si="0"/>
        <v>29.43</v>
      </c>
      <c r="I28" s="23">
        <f>'Raw Data'!I28</f>
        <v>17.760000000000002</v>
      </c>
      <c r="J28" s="23">
        <f t="shared" si="1"/>
        <v>11.669999999999998</v>
      </c>
      <c r="K28" s="13" t="str">
        <f>IF('Raw Data'!K28="","Unknown",'Raw Data'!K28)</f>
        <v>Kiran</v>
      </c>
      <c r="L28" s="24" t="str">
        <f>'Raw Data'!L28</f>
        <v>Business</v>
      </c>
    </row>
    <row r="29" spans="1:12" x14ac:dyDescent="0.3">
      <c r="A29" s="21" t="str">
        <f>'Raw Data'!A29</f>
        <v>ORD0028</v>
      </c>
      <c r="B29" s="22">
        <f>'Raw Data'!B29</f>
        <v>45779</v>
      </c>
      <c r="C29" s="13" t="str">
        <f>'Raw Data'!C29</f>
        <v>North</v>
      </c>
      <c r="D29" s="13" t="str">
        <f>'Raw Data'!D29</f>
        <v>Electronics</v>
      </c>
      <c r="E29" s="13" t="str">
        <f>'Raw Data'!E29</f>
        <v>Laptop</v>
      </c>
      <c r="F29" s="13">
        <f>IF('Raw Data'!F29="",0,'Raw Data'!F29)</f>
        <v>11</v>
      </c>
      <c r="G29" s="23">
        <f>'Raw Data'!G29</f>
        <v>727.89</v>
      </c>
      <c r="H29" s="23">
        <f t="shared" si="0"/>
        <v>8006.79</v>
      </c>
      <c r="I29" s="23">
        <f>'Raw Data'!I29</f>
        <v>6171.7</v>
      </c>
      <c r="J29" s="23">
        <f t="shared" si="1"/>
        <v>1835.0900000000001</v>
      </c>
      <c r="K29" s="13" t="str">
        <f>IF('Raw Data'!K29="","Unknown",'Raw Data'!K29)</f>
        <v>Ravi</v>
      </c>
      <c r="L29" s="24" t="str">
        <f>'Raw Data'!L29</f>
        <v>Returning</v>
      </c>
    </row>
    <row r="30" spans="1:12" x14ac:dyDescent="0.3">
      <c r="A30" s="21" t="str">
        <f>'Raw Data'!A30</f>
        <v>ORD0029</v>
      </c>
      <c r="B30" s="22">
        <f>'Raw Data'!B30</f>
        <v>45852</v>
      </c>
      <c r="C30" s="13" t="str">
        <f>'Raw Data'!C30</f>
        <v>South</v>
      </c>
      <c r="D30" s="13" t="str">
        <f>'Raw Data'!D30</f>
        <v>Furniture</v>
      </c>
      <c r="E30" s="13" t="str">
        <f>'Raw Data'!E30</f>
        <v>Cabinet</v>
      </c>
      <c r="F30" s="13">
        <f>IF('Raw Data'!F30="",0,'Raw Data'!F30)</f>
        <v>4</v>
      </c>
      <c r="G30" s="23">
        <f>'Raw Data'!G30</f>
        <v>174</v>
      </c>
      <c r="H30" s="23">
        <f t="shared" si="0"/>
        <v>696</v>
      </c>
      <c r="I30" s="23">
        <f>'Raw Data'!I30</f>
        <v>550.35</v>
      </c>
      <c r="J30" s="23">
        <f t="shared" si="1"/>
        <v>145.64999999999998</v>
      </c>
      <c r="K30" s="13" t="str">
        <f>IF('Raw Data'!K30="","Unknown",'Raw Data'!K30)</f>
        <v>Asha</v>
      </c>
      <c r="L30" s="24" t="str">
        <f>'Raw Data'!L30</f>
        <v>Returning</v>
      </c>
    </row>
    <row r="31" spans="1:12" x14ac:dyDescent="0.3">
      <c r="A31" s="21" t="str">
        <f>'Raw Data'!A31</f>
        <v>ORD0030</v>
      </c>
      <c r="B31" s="22">
        <f>'Raw Data'!B31</f>
        <v>45737</v>
      </c>
      <c r="C31" s="13" t="str">
        <f>'Raw Data'!C31</f>
        <v>West</v>
      </c>
      <c r="D31" s="13" t="str">
        <f>'Raw Data'!D31</f>
        <v>Furniture</v>
      </c>
      <c r="E31" s="13" t="str">
        <f>'Raw Data'!E31</f>
        <v>Cabinet</v>
      </c>
      <c r="F31" s="13">
        <f>IF('Raw Data'!F31="",0,'Raw Data'!F31)</f>
        <v>5</v>
      </c>
      <c r="G31" s="23">
        <f>'Raw Data'!G31</f>
        <v>157.04</v>
      </c>
      <c r="H31" s="23">
        <f t="shared" si="0"/>
        <v>785.19999999999993</v>
      </c>
      <c r="I31" s="23">
        <f>'Raw Data'!I31</f>
        <v>633.80999999999995</v>
      </c>
      <c r="J31" s="23">
        <f t="shared" si="1"/>
        <v>151.38999999999999</v>
      </c>
      <c r="K31" s="13" t="str">
        <f>IF('Raw Data'!K31="","Unknown",'Raw Data'!K31)</f>
        <v>Ravi</v>
      </c>
      <c r="L31" s="24" t="str">
        <f>'Raw Data'!L31</f>
        <v>Returning</v>
      </c>
    </row>
    <row r="32" spans="1:12" x14ac:dyDescent="0.3">
      <c r="A32" s="21" t="str">
        <f>'Raw Data'!A32</f>
        <v>ORD0031</v>
      </c>
      <c r="B32" s="22">
        <f>'Raw Data'!B32</f>
        <v>45687</v>
      </c>
      <c r="C32" s="13" t="str">
        <f>'Raw Data'!C32</f>
        <v>East</v>
      </c>
      <c r="D32" s="13" t="str">
        <f>'Raw Data'!D32</f>
        <v>Electronics</v>
      </c>
      <c r="E32" s="13" t="str">
        <f>'Raw Data'!E32</f>
        <v>Laptop</v>
      </c>
      <c r="F32" s="13">
        <f>IF('Raw Data'!F32="",0,'Raw Data'!F32)</f>
        <v>10</v>
      </c>
      <c r="G32" s="23">
        <f>'Raw Data'!G32</f>
        <v>686.77</v>
      </c>
      <c r="H32" s="23">
        <f t="shared" si="0"/>
        <v>6867.7</v>
      </c>
      <c r="I32" s="23">
        <f>'Raw Data'!I32</f>
        <v>3696.8</v>
      </c>
      <c r="J32" s="23">
        <f t="shared" si="1"/>
        <v>3170.8999999999996</v>
      </c>
      <c r="K32" s="13" t="str">
        <f>IF('Raw Data'!K32="","Unknown",'Raw Data'!K32)</f>
        <v>Asha</v>
      </c>
      <c r="L32" s="24" t="str">
        <f>'Raw Data'!L32</f>
        <v>Business</v>
      </c>
    </row>
    <row r="33" spans="1:12" x14ac:dyDescent="0.3">
      <c r="A33" s="21" t="str">
        <f>'Raw Data'!A33</f>
        <v>ORD0032</v>
      </c>
      <c r="B33" s="22">
        <f>'Raw Data'!B33</f>
        <v>45693</v>
      </c>
      <c r="C33" s="13" t="str">
        <f>'Raw Data'!C33</f>
        <v>South</v>
      </c>
      <c r="D33" s="13" t="str">
        <f>'Raw Data'!D33</f>
        <v>Furniture</v>
      </c>
      <c r="E33" s="13" t="str">
        <f>'Raw Data'!E33</f>
        <v>Chair</v>
      </c>
      <c r="F33" s="13">
        <f>IF('Raw Data'!F33="",0,'Raw Data'!F33)</f>
        <v>1</v>
      </c>
      <c r="G33" s="23">
        <f>'Raw Data'!G33</f>
        <v>105.51</v>
      </c>
      <c r="H33" s="23">
        <f t="shared" si="0"/>
        <v>105.51</v>
      </c>
      <c r="I33" s="23">
        <f>'Raw Data'!I33</f>
        <v>57.4</v>
      </c>
      <c r="J33" s="23">
        <f t="shared" si="1"/>
        <v>48.110000000000007</v>
      </c>
      <c r="K33" s="13" t="str">
        <f>IF('Raw Data'!K33="","Unknown",'Raw Data'!K33)</f>
        <v>Jay</v>
      </c>
      <c r="L33" s="24" t="str">
        <f>'Raw Data'!L33</f>
        <v>New</v>
      </c>
    </row>
    <row r="34" spans="1:12" x14ac:dyDescent="0.3">
      <c r="A34" s="21" t="str">
        <f>'Raw Data'!A34</f>
        <v>ORD0033</v>
      </c>
      <c r="B34" s="22">
        <f>'Raw Data'!B34</f>
        <v>45954</v>
      </c>
      <c r="C34" s="13" t="str">
        <f>'Raw Data'!C34</f>
        <v>South</v>
      </c>
      <c r="D34" s="13" t="str">
        <f>'Raw Data'!D34</f>
        <v>Office Supplies</v>
      </c>
      <c r="E34" s="13" t="str">
        <f>'Raw Data'!E34</f>
        <v>Pen Set</v>
      </c>
      <c r="F34" s="13">
        <f>IF('Raw Data'!F34="",0,'Raw Data'!F34)</f>
        <v>7</v>
      </c>
      <c r="G34" s="23">
        <f>'Raw Data'!G34</f>
        <v>10.91</v>
      </c>
      <c r="H34" s="23">
        <f t="shared" ref="H34:H65" si="2">F34*G34</f>
        <v>76.37</v>
      </c>
      <c r="I34" s="23">
        <f>'Raw Data'!I34</f>
        <v>60.11</v>
      </c>
      <c r="J34" s="23">
        <f t="shared" ref="J34:J65" si="3">H34-I34</f>
        <v>16.260000000000005</v>
      </c>
      <c r="K34" s="13" t="str">
        <f>IF('Raw Data'!K34="","Unknown",'Raw Data'!K34)</f>
        <v>Jay</v>
      </c>
      <c r="L34" s="24" t="str">
        <f>'Raw Data'!L34</f>
        <v>New</v>
      </c>
    </row>
    <row r="35" spans="1:12" x14ac:dyDescent="0.3">
      <c r="A35" s="21" t="str">
        <f>'Raw Data'!A35</f>
        <v>ORD0034</v>
      </c>
      <c r="B35" s="22">
        <f>'Raw Data'!B35</f>
        <v>45791</v>
      </c>
      <c r="C35" s="13" t="str">
        <f>'Raw Data'!C35</f>
        <v>East</v>
      </c>
      <c r="D35" s="13" t="str">
        <f>'Raw Data'!D35</f>
        <v>Office Supplies</v>
      </c>
      <c r="E35" s="13" t="str">
        <f>'Raw Data'!E35</f>
        <v>Notebook</v>
      </c>
      <c r="F35" s="13">
        <f>IF('Raw Data'!F35="",0,'Raw Data'!F35)</f>
        <v>7</v>
      </c>
      <c r="G35" s="23">
        <f>'Raw Data'!G35</f>
        <v>5.19</v>
      </c>
      <c r="H35" s="23">
        <f t="shared" si="2"/>
        <v>36.330000000000005</v>
      </c>
      <c r="I35" s="23">
        <f>'Raw Data'!I35</f>
        <v>25.05</v>
      </c>
      <c r="J35" s="23">
        <f t="shared" si="3"/>
        <v>11.280000000000005</v>
      </c>
      <c r="K35" s="13" t="str">
        <f>IF('Raw Data'!K35="","Unknown",'Raw Data'!K35)</f>
        <v>Ravi</v>
      </c>
      <c r="L35" s="24" t="str">
        <f>'Raw Data'!L35</f>
        <v>Business</v>
      </c>
    </row>
    <row r="36" spans="1:12" x14ac:dyDescent="0.3">
      <c r="A36" s="21" t="str">
        <f>'Raw Data'!A36</f>
        <v>ORD0035</v>
      </c>
      <c r="B36" s="22">
        <f>'Raw Data'!B36</f>
        <v>45892</v>
      </c>
      <c r="C36" s="13" t="str">
        <f>'Raw Data'!C36</f>
        <v>East</v>
      </c>
      <c r="D36" s="13" t="str">
        <f>'Raw Data'!D36</f>
        <v>Office Supplies</v>
      </c>
      <c r="E36" s="13" t="str">
        <f>'Raw Data'!E36</f>
        <v>Printer Paper</v>
      </c>
      <c r="F36" s="13">
        <f>IF('Raw Data'!F36="",0,'Raw Data'!F36)</f>
        <v>4</v>
      </c>
      <c r="G36" s="23">
        <f>'Raw Data'!G36</f>
        <v>7.55</v>
      </c>
      <c r="H36" s="23">
        <f t="shared" si="2"/>
        <v>30.2</v>
      </c>
      <c r="I36" s="23">
        <f>'Raw Data'!I36</f>
        <v>16.89</v>
      </c>
      <c r="J36" s="23">
        <f t="shared" si="3"/>
        <v>13.309999999999999</v>
      </c>
      <c r="K36" s="13" t="str">
        <f>IF('Raw Data'!K36="","Unknown",'Raw Data'!K36)</f>
        <v>Neha</v>
      </c>
      <c r="L36" s="24" t="str">
        <f>'Raw Data'!L36</f>
        <v>New</v>
      </c>
    </row>
    <row r="37" spans="1:12" x14ac:dyDescent="0.3">
      <c r="A37" s="21" t="str">
        <f>'Raw Data'!A37</f>
        <v>ORD0036</v>
      </c>
      <c r="B37" s="22">
        <f>'Raw Data'!B37</f>
        <v>45933</v>
      </c>
      <c r="C37" s="13" t="str">
        <f>'Raw Data'!C37</f>
        <v>North</v>
      </c>
      <c r="D37" s="13" t="str">
        <f>'Raw Data'!D37</f>
        <v>Electronics</v>
      </c>
      <c r="E37" s="13" t="str">
        <f>'Raw Data'!E37</f>
        <v>Keyboard</v>
      </c>
      <c r="F37" s="13">
        <f>IF('Raw Data'!F37="",0,'Raw Data'!F37)</f>
        <v>10</v>
      </c>
      <c r="G37" s="23">
        <f>'Raw Data'!G37</f>
        <v>39.19</v>
      </c>
      <c r="H37" s="23">
        <f t="shared" si="2"/>
        <v>391.9</v>
      </c>
      <c r="I37" s="23">
        <f>'Raw Data'!I37</f>
        <v>320.89999999999998</v>
      </c>
      <c r="J37" s="23">
        <f t="shared" si="3"/>
        <v>71</v>
      </c>
      <c r="K37" s="13" t="str">
        <f>IF('Raw Data'!K37="","Unknown",'Raw Data'!K37)</f>
        <v>Ravi</v>
      </c>
      <c r="L37" s="24" t="str">
        <f>'Raw Data'!L37</f>
        <v>Business</v>
      </c>
    </row>
    <row r="38" spans="1:12" x14ac:dyDescent="0.3">
      <c r="A38" s="21" t="str">
        <f>'Raw Data'!A38</f>
        <v>ORD0037</v>
      </c>
      <c r="B38" s="22">
        <f>'Raw Data'!B38</f>
        <v>45847</v>
      </c>
      <c r="C38" s="13" t="str">
        <f>'Raw Data'!C38</f>
        <v>South</v>
      </c>
      <c r="D38" s="13" t="str">
        <f>'Raw Data'!D38</f>
        <v>Furniture</v>
      </c>
      <c r="E38" s="13" t="str">
        <f>'Raw Data'!E38</f>
        <v>Chair</v>
      </c>
      <c r="F38" s="13">
        <f>IF('Raw Data'!F38="",0,'Raw Data'!F38)</f>
        <v>15</v>
      </c>
      <c r="G38" s="23">
        <f>'Raw Data'!G38</f>
        <v>91.56</v>
      </c>
      <c r="H38" s="23">
        <f t="shared" si="2"/>
        <v>1373.4</v>
      </c>
      <c r="I38" s="23">
        <f>'Raw Data'!I38</f>
        <v>742.51</v>
      </c>
      <c r="J38" s="23">
        <f t="shared" si="3"/>
        <v>630.8900000000001</v>
      </c>
      <c r="K38" s="13" t="str">
        <f>IF('Raw Data'!K38="","Unknown",'Raw Data'!K38)</f>
        <v>Neha</v>
      </c>
      <c r="L38" s="24" t="str">
        <f>'Raw Data'!L38</f>
        <v>New</v>
      </c>
    </row>
    <row r="39" spans="1:12" x14ac:dyDescent="0.3">
      <c r="A39" s="21" t="str">
        <f>'Raw Data'!A39</f>
        <v>ORD0038</v>
      </c>
      <c r="B39" s="22">
        <f>'Raw Data'!B39</f>
        <v>45999</v>
      </c>
      <c r="C39" s="13" t="str">
        <f>'Raw Data'!C39</f>
        <v>North</v>
      </c>
      <c r="D39" s="13" t="str">
        <f>'Raw Data'!D39</f>
        <v>Furniture</v>
      </c>
      <c r="E39" s="13" t="str">
        <f>'Raw Data'!E39</f>
        <v>Bookshelf</v>
      </c>
      <c r="F39" s="13">
        <f>IF('Raw Data'!F39="",0,'Raw Data'!F39)</f>
        <v>10</v>
      </c>
      <c r="G39" s="23">
        <f>'Raw Data'!G39</f>
        <v>156.26</v>
      </c>
      <c r="H39" s="23">
        <f t="shared" si="2"/>
        <v>1562.6</v>
      </c>
      <c r="I39" s="23">
        <f>'Raw Data'!I39</f>
        <v>1190.9000000000001</v>
      </c>
      <c r="J39" s="23">
        <f t="shared" si="3"/>
        <v>371.69999999999982</v>
      </c>
      <c r="K39" s="13" t="str">
        <f>IF('Raw Data'!K39="","Unknown",'Raw Data'!K39)</f>
        <v>Jay</v>
      </c>
      <c r="L39" s="24" t="str">
        <f>'Raw Data'!L39</f>
        <v>Returning</v>
      </c>
    </row>
    <row r="40" spans="1:12" x14ac:dyDescent="0.3">
      <c r="A40" s="21" t="str">
        <f>'Raw Data'!A40</f>
        <v>ORD0039</v>
      </c>
      <c r="B40" s="22">
        <f>'Raw Data'!B40</f>
        <v>45941</v>
      </c>
      <c r="C40" s="13" t="str">
        <f>'Raw Data'!C40</f>
        <v>North</v>
      </c>
      <c r="D40" s="13" t="str">
        <f>'Raw Data'!D40</f>
        <v>Office Supplies</v>
      </c>
      <c r="E40" s="13" t="str">
        <f>'Raw Data'!E40</f>
        <v>Notebook</v>
      </c>
      <c r="F40" s="13">
        <f>IF('Raw Data'!F40="",0,'Raw Data'!F40)</f>
        <v>15</v>
      </c>
      <c r="G40" s="23">
        <f>'Raw Data'!G40</f>
        <v>4.5599999999999996</v>
      </c>
      <c r="H40" s="23">
        <f t="shared" si="2"/>
        <v>68.399999999999991</v>
      </c>
      <c r="I40" s="23">
        <f>'Raw Data'!I40</f>
        <v>37.94</v>
      </c>
      <c r="J40" s="23">
        <f t="shared" si="3"/>
        <v>30.459999999999994</v>
      </c>
      <c r="K40" s="13" t="str">
        <f>IF('Raw Data'!K40="","Unknown",'Raw Data'!K40)</f>
        <v>Ravi</v>
      </c>
      <c r="L40" s="24" t="str">
        <f>'Raw Data'!L40</f>
        <v>Returning</v>
      </c>
    </row>
    <row r="41" spans="1:12" x14ac:dyDescent="0.3">
      <c r="A41" s="21" t="str">
        <f>'Raw Data'!A41</f>
        <v>ORD0040</v>
      </c>
      <c r="B41" s="22">
        <f>'Raw Data'!B41</f>
        <v>45916</v>
      </c>
      <c r="C41" s="13" t="str">
        <f>'Raw Data'!C41</f>
        <v>East</v>
      </c>
      <c r="D41" s="13" t="str">
        <f>'Raw Data'!D41</f>
        <v>Furniture</v>
      </c>
      <c r="E41" s="13" t="str">
        <f>'Raw Data'!E41</f>
        <v>Chair</v>
      </c>
      <c r="F41" s="13">
        <f>IF('Raw Data'!F41="",0,'Raw Data'!F41)</f>
        <v>12</v>
      </c>
      <c r="G41" s="23">
        <f>'Raw Data'!G41</f>
        <v>91.42</v>
      </c>
      <c r="H41" s="23">
        <f t="shared" si="2"/>
        <v>1097.04</v>
      </c>
      <c r="I41" s="23">
        <f>'Raw Data'!I41</f>
        <v>796.72</v>
      </c>
      <c r="J41" s="23">
        <f t="shared" si="3"/>
        <v>300.31999999999994</v>
      </c>
      <c r="K41" s="13" t="str">
        <f>IF('Raw Data'!K41="","Unknown",'Raw Data'!K41)</f>
        <v>Kiran</v>
      </c>
      <c r="L41" s="24" t="str">
        <f>'Raw Data'!L41</f>
        <v>Returning</v>
      </c>
    </row>
    <row r="42" spans="1:12" x14ac:dyDescent="0.3">
      <c r="A42" s="21" t="str">
        <f>'Raw Data'!A42</f>
        <v>ORD0041</v>
      </c>
      <c r="B42" s="22">
        <f>'Raw Data'!B42</f>
        <v>45828</v>
      </c>
      <c r="C42" s="13" t="str">
        <f>'Raw Data'!C42</f>
        <v>North</v>
      </c>
      <c r="D42" s="13" t="str">
        <f>'Raw Data'!D42</f>
        <v>Electronics</v>
      </c>
      <c r="E42" s="13" t="str">
        <f>'Raw Data'!E42</f>
        <v>Laptop</v>
      </c>
      <c r="F42" s="13">
        <f>IF('Raw Data'!F42="",0,'Raw Data'!F42)</f>
        <v>11</v>
      </c>
      <c r="G42" s="23">
        <f>'Raw Data'!G42</f>
        <v>638.08000000000004</v>
      </c>
      <c r="H42" s="23">
        <f t="shared" si="2"/>
        <v>7018.88</v>
      </c>
      <c r="I42" s="23">
        <f>'Raw Data'!I42</f>
        <v>4232.41</v>
      </c>
      <c r="J42" s="23">
        <f t="shared" si="3"/>
        <v>2786.4700000000003</v>
      </c>
      <c r="K42" s="13" t="str">
        <f>IF('Raw Data'!K42="","Unknown",'Raw Data'!K42)</f>
        <v>Ravi</v>
      </c>
      <c r="L42" s="24" t="str">
        <f>'Raw Data'!L42</f>
        <v>Business</v>
      </c>
    </row>
    <row r="43" spans="1:12" x14ac:dyDescent="0.3">
      <c r="A43" s="21" t="str">
        <f>'Raw Data'!A43</f>
        <v>ORD0042</v>
      </c>
      <c r="B43" s="22">
        <f>'Raw Data'!B43</f>
        <v>45715</v>
      </c>
      <c r="C43" s="13" t="str">
        <f>'Raw Data'!C43</f>
        <v>North</v>
      </c>
      <c r="D43" s="13" t="str">
        <f>'Raw Data'!D43</f>
        <v>Furniture</v>
      </c>
      <c r="E43" s="13" t="str">
        <f>'Raw Data'!E43</f>
        <v>Chair</v>
      </c>
      <c r="F43" s="13">
        <f>IF('Raw Data'!F43="",0,'Raw Data'!F43)</f>
        <v>12</v>
      </c>
      <c r="G43" s="23">
        <f>'Raw Data'!G43</f>
        <v>93.67</v>
      </c>
      <c r="H43" s="23">
        <f t="shared" si="2"/>
        <v>1124.04</v>
      </c>
      <c r="I43" s="23">
        <f>'Raw Data'!I43</f>
        <v>822.46</v>
      </c>
      <c r="J43" s="23">
        <f t="shared" si="3"/>
        <v>301.57999999999993</v>
      </c>
      <c r="K43" s="13" t="str">
        <f>IF('Raw Data'!K43="","Unknown",'Raw Data'!K43)</f>
        <v>Asha</v>
      </c>
      <c r="L43" s="24" t="str">
        <f>'Raw Data'!L43</f>
        <v>Business</v>
      </c>
    </row>
    <row r="44" spans="1:12" x14ac:dyDescent="0.3">
      <c r="A44" s="21" t="str">
        <f>'Raw Data'!A44</f>
        <v>ORD0043</v>
      </c>
      <c r="B44" s="22">
        <f>'Raw Data'!B44</f>
        <v>45723</v>
      </c>
      <c r="C44" s="13" t="str">
        <f>'Raw Data'!C44</f>
        <v>West</v>
      </c>
      <c r="D44" s="13" t="str">
        <f>'Raw Data'!D44</f>
        <v>Electronics</v>
      </c>
      <c r="E44" s="13" t="str">
        <f>'Raw Data'!E44</f>
        <v>Laptop</v>
      </c>
      <c r="F44" s="13">
        <f>IF('Raw Data'!F44="",0,'Raw Data'!F44)</f>
        <v>14</v>
      </c>
      <c r="G44" s="23">
        <f>'Raw Data'!G44</f>
        <v>629.6</v>
      </c>
      <c r="H44" s="23">
        <f t="shared" si="2"/>
        <v>8814.4</v>
      </c>
      <c r="I44" s="23">
        <f>'Raw Data'!I44</f>
        <v>6044.54</v>
      </c>
      <c r="J44" s="23">
        <f t="shared" si="3"/>
        <v>2769.8599999999997</v>
      </c>
      <c r="K44" s="13" t="str">
        <f>IF('Raw Data'!K44="","Unknown",'Raw Data'!K44)</f>
        <v>Asha</v>
      </c>
      <c r="L44" s="24" t="str">
        <f>'Raw Data'!L44</f>
        <v>Returning</v>
      </c>
    </row>
    <row r="45" spans="1:12" x14ac:dyDescent="0.3">
      <c r="A45" s="21" t="str">
        <f>'Raw Data'!A45</f>
        <v>ORD0044</v>
      </c>
      <c r="B45" s="22">
        <f>'Raw Data'!B45</f>
        <v>45839</v>
      </c>
      <c r="C45" s="13" t="str">
        <f>'Raw Data'!C45</f>
        <v>North</v>
      </c>
      <c r="D45" s="13" t="str">
        <f>'Raw Data'!D45</f>
        <v>Furniture</v>
      </c>
      <c r="E45" s="13" t="str">
        <f>'Raw Data'!E45</f>
        <v>Desk</v>
      </c>
      <c r="F45" s="13">
        <f>IF('Raw Data'!F45="",0,'Raw Data'!F45)</f>
        <v>15</v>
      </c>
      <c r="G45" s="23">
        <f>'Raw Data'!G45</f>
        <v>173.86</v>
      </c>
      <c r="H45" s="23">
        <f t="shared" si="2"/>
        <v>2607.9</v>
      </c>
      <c r="I45" s="23">
        <f>'Raw Data'!I45</f>
        <v>1889.74</v>
      </c>
      <c r="J45" s="23">
        <f t="shared" si="3"/>
        <v>718.16000000000008</v>
      </c>
      <c r="K45" s="13" t="str">
        <f>IF('Raw Data'!K45="","Unknown",'Raw Data'!K45)</f>
        <v>Jay</v>
      </c>
      <c r="L45" s="24" t="str">
        <f>'Raw Data'!L45</f>
        <v>Returning</v>
      </c>
    </row>
    <row r="46" spans="1:12" x14ac:dyDescent="0.3">
      <c r="A46" s="21" t="str">
        <f>'Raw Data'!A46</f>
        <v>ORD0045</v>
      </c>
      <c r="B46" s="22">
        <f>'Raw Data'!B46</f>
        <v>45869</v>
      </c>
      <c r="C46" s="13" t="str">
        <f>'Raw Data'!C46</f>
        <v>South</v>
      </c>
      <c r="D46" s="13" t="str">
        <f>'Raw Data'!D46</f>
        <v>Office Supplies</v>
      </c>
      <c r="E46" s="13" t="str">
        <f>'Raw Data'!E46</f>
        <v>Pen Set</v>
      </c>
      <c r="F46" s="13">
        <f>IF('Raw Data'!F46="",0,'Raw Data'!F46)</f>
        <v>15</v>
      </c>
      <c r="G46" s="23">
        <f>'Raw Data'!G46</f>
        <v>13.24</v>
      </c>
      <c r="H46" s="23">
        <f t="shared" si="2"/>
        <v>198.6</v>
      </c>
      <c r="I46" s="23">
        <f>'Raw Data'!I46</f>
        <v>154.79</v>
      </c>
      <c r="J46" s="23">
        <f t="shared" si="3"/>
        <v>43.81</v>
      </c>
      <c r="K46" s="13" t="str">
        <f>IF('Raw Data'!K46="","Unknown",'Raw Data'!K46)</f>
        <v>Asha</v>
      </c>
      <c r="L46" s="24" t="str">
        <f>'Raw Data'!L46</f>
        <v>New</v>
      </c>
    </row>
    <row r="47" spans="1:12" x14ac:dyDescent="0.3">
      <c r="A47" s="21" t="str">
        <f>'Raw Data'!A47</f>
        <v>ORD0046</v>
      </c>
      <c r="B47" s="22">
        <f>'Raw Data'!B47</f>
        <v>45794</v>
      </c>
      <c r="C47" s="13" t="str">
        <f>'Raw Data'!C47</f>
        <v>South</v>
      </c>
      <c r="D47" s="13" t="str">
        <f>'Raw Data'!D47</f>
        <v>Office Supplies</v>
      </c>
      <c r="E47" s="13" t="str">
        <f>'Raw Data'!E47</f>
        <v>Printer Paper</v>
      </c>
      <c r="F47" s="13">
        <f>IF('Raw Data'!F47="",0,'Raw Data'!F47)</f>
        <v>13</v>
      </c>
      <c r="G47" s="23">
        <f>'Raw Data'!G47</f>
        <v>8.83</v>
      </c>
      <c r="H47" s="23">
        <f t="shared" si="2"/>
        <v>114.79</v>
      </c>
      <c r="I47" s="23">
        <f>'Raw Data'!I47</f>
        <v>87.32</v>
      </c>
      <c r="J47" s="23">
        <f t="shared" si="3"/>
        <v>27.470000000000013</v>
      </c>
      <c r="K47" s="13" t="str">
        <f>IF('Raw Data'!K47="","Unknown",'Raw Data'!K47)</f>
        <v>Ravi</v>
      </c>
      <c r="L47" s="24" t="str">
        <f>'Raw Data'!L47</f>
        <v>Business</v>
      </c>
    </row>
    <row r="48" spans="1:12" x14ac:dyDescent="0.3">
      <c r="A48" s="21" t="str">
        <f>'Raw Data'!A48</f>
        <v>ORD0047</v>
      </c>
      <c r="B48" s="22">
        <f>'Raw Data'!B48</f>
        <v>45893</v>
      </c>
      <c r="C48" s="13" t="str">
        <f>'Raw Data'!C48</f>
        <v>South</v>
      </c>
      <c r="D48" s="13" t="str">
        <f>'Raw Data'!D48</f>
        <v>Electronics</v>
      </c>
      <c r="E48" s="13" t="str">
        <f>'Raw Data'!E48</f>
        <v>Keyboard</v>
      </c>
      <c r="F48" s="13">
        <f>IF('Raw Data'!F48="",0,'Raw Data'!F48)</f>
        <v>14</v>
      </c>
      <c r="G48" s="23">
        <f>'Raw Data'!G48</f>
        <v>31.13</v>
      </c>
      <c r="H48" s="23">
        <f t="shared" si="2"/>
        <v>435.82</v>
      </c>
      <c r="I48" s="23">
        <f>'Raw Data'!I48</f>
        <v>288.17</v>
      </c>
      <c r="J48" s="23">
        <f t="shared" si="3"/>
        <v>147.64999999999998</v>
      </c>
      <c r="K48" s="13" t="str">
        <f>IF('Raw Data'!K48="","Unknown",'Raw Data'!K48)</f>
        <v>Neha</v>
      </c>
      <c r="L48" s="24" t="str">
        <f>'Raw Data'!L48</f>
        <v>Returning</v>
      </c>
    </row>
    <row r="49" spans="1:12" x14ac:dyDescent="0.3">
      <c r="A49" s="21" t="str">
        <f>'Raw Data'!A49</f>
        <v>ORD0048</v>
      </c>
      <c r="B49" s="22">
        <f>'Raw Data'!B49</f>
        <v>45693</v>
      </c>
      <c r="C49" s="13" t="str">
        <f>'Raw Data'!C49</f>
        <v>East</v>
      </c>
      <c r="D49" s="13" t="str">
        <f>'Raw Data'!D49</f>
        <v>Electronics</v>
      </c>
      <c r="E49" s="13" t="str">
        <f>'Raw Data'!E49</f>
        <v>Headphones</v>
      </c>
      <c r="F49" s="13">
        <f>IF('Raw Data'!F49="",0,'Raw Data'!F49)</f>
        <v>1</v>
      </c>
      <c r="G49" s="23">
        <f>'Raw Data'!G49</f>
        <v>46.73</v>
      </c>
      <c r="H49" s="23">
        <f t="shared" si="2"/>
        <v>46.73</v>
      </c>
      <c r="I49" s="23">
        <f>'Raw Data'!I49</f>
        <v>29.89</v>
      </c>
      <c r="J49" s="23">
        <f t="shared" si="3"/>
        <v>16.839999999999996</v>
      </c>
      <c r="K49" s="13" t="str">
        <f>IF('Raw Data'!K49="","Unknown",'Raw Data'!K49)</f>
        <v>Neha</v>
      </c>
      <c r="L49" s="24" t="str">
        <f>'Raw Data'!L49</f>
        <v>Returning</v>
      </c>
    </row>
    <row r="50" spans="1:12" x14ac:dyDescent="0.3">
      <c r="A50" s="21" t="str">
        <f>'Raw Data'!A50</f>
        <v>ORD0049</v>
      </c>
      <c r="B50" s="22">
        <f>'Raw Data'!B50</f>
        <v>45717</v>
      </c>
      <c r="C50" s="13" t="str">
        <f>'Raw Data'!C50</f>
        <v>North</v>
      </c>
      <c r="D50" s="13" t="str">
        <f>'Raw Data'!D50</f>
        <v>Office Supplies</v>
      </c>
      <c r="E50" s="13" t="str">
        <f>'Raw Data'!E50</f>
        <v>Stapler</v>
      </c>
      <c r="F50" s="13">
        <f>IF('Raw Data'!F50="",0,'Raw Data'!F50)</f>
        <v>11</v>
      </c>
      <c r="G50" s="23">
        <f>'Raw Data'!G50</f>
        <v>11.15</v>
      </c>
      <c r="H50" s="23">
        <f t="shared" si="2"/>
        <v>122.65</v>
      </c>
      <c r="I50" s="23">
        <f>'Raw Data'!I50</f>
        <v>83.51</v>
      </c>
      <c r="J50" s="23">
        <f t="shared" si="3"/>
        <v>39.14</v>
      </c>
      <c r="K50" s="13" t="str">
        <f>IF('Raw Data'!K50="","Unknown",'Raw Data'!K50)</f>
        <v>Neha</v>
      </c>
      <c r="L50" s="24" t="str">
        <f>'Raw Data'!L50</f>
        <v>New</v>
      </c>
    </row>
    <row r="51" spans="1:12" x14ac:dyDescent="0.3">
      <c r="A51" s="21" t="str">
        <f>'Raw Data'!A51</f>
        <v>ORD0050</v>
      </c>
      <c r="B51" s="22">
        <f>'Raw Data'!B51</f>
        <v>45881</v>
      </c>
      <c r="C51" s="13" t="str">
        <f>'Raw Data'!C51</f>
        <v>East</v>
      </c>
      <c r="D51" s="13" t="str">
        <f>'Raw Data'!D51</f>
        <v>Office Supplies</v>
      </c>
      <c r="E51" s="13" t="str">
        <f>'Raw Data'!E51</f>
        <v>Printer Paper</v>
      </c>
      <c r="F51" s="13">
        <f>IF('Raw Data'!F51="",0,'Raw Data'!F51)</f>
        <v>1</v>
      </c>
      <c r="G51" s="23">
        <f>'Raw Data'!G51</f>
        <v>7.25</v>
      </c>
      <c r="H51" s="23">
        <f t="shared" si="2"/>
        <v>7.25</v>
      </c>
      <c r="I51" s="23">
        <f>'Raw Data'!I51</f>
        <v>4.72</v>
      </c>
      <c r="J51" s="23">
        <f t="shared" si="3"/>
        <v>2.5300000000000002</v>
      </c>
      <c r="K51" s="13" t="str">
        <f>IF('Raw Data'!K51="","Unknown",'Raw Data'!K51)</f>
        <v>Jay</v>
      </c>
      <c r="L51" s="24" t="str">
        <f>'Raw Data'!L51</f>
        <v>Business</v>
      </c>
    </row>
    <row r="52" spans="1:12" x14ac:dyDescent="0.3">
      <c r="A52" s="21" t="str">
        <f>'Raw Data'!A52</f>
        <v>ORD0051</v>
      </c>
      <c r="B52" s="22">
        <f>'Raw Data'!B52</f>
        <v>45658</v>
      </c>
      <c r="C52" s="13" t="str">
        <f>'Raw Data'!C52</f>
        <v>West</v>
      </c>
      <c r="D52" s="13" t="str">
        <f>'Raw Data'!D52</f>
        <v>Electronics</v>
      </c>
      <c r="E52" s="13" t="str">
        <f>'Raw Data'!E52</f>
        <v>Keyboard</v>
      </c>
      <c r="F52" s="13">
        <f>IF('Raw Data'!F52="",0,'Raw Data'!F52)</f>
        <v>15</v>
      </c>
      <c r="G52" s="23">
        <f>'Raw Data'!G52</f>
        <v>35.64</v>
      </c>
      <c r="H52" s="23">
        <f t="shared" si="2"/>
        <v>534.6</v>
      </c>
      <c r="I52" s="23">
        <f>'Raw Data'!I52</f>
        <v>318.83999999999997</v>
      </c>
      <c r="J52" s="23">
        <f t="shared" si="3"/>
        <v>215.76000000000005</v>
      </c>
      <c r="K52" s="13" t="str">
        <f>IF('Raw Data'!K52="","Unknown",'Raw Data'!K52)</f>
        <v>Jay</v>
      </c>
      <c r="L52" s="24" t="str">
        <f>'Raw Data'!L52</f>
        <v>Business</v>
      </c>
    </row>
    <row r="53" spans="1:12" x14ac:dyDescent="0.3">
      <c r="A53" s="21" t="str">
        <f>'Raw Data'!A53</f>
        <v>ORD0052</v>
      </c>
      <c r="B53" s="22">
        <f>'Raw Data'!B53</f>
        <v>45977</v>
      </c>
      <c r="C53" s="13" t="str">
        <f>'Raw Data'!C53</f>
        <v>East</v>
      </c>
      <c r="D53" s="13" t="str">
        <f>'Raw Data'!D53</f>
        <v>Office Supplies</v>
      </c>
      <c r="E53" s="13" t="str">
        <f>'Raw Data'!E53</f>
        <v>Pen Set</v>
      </c>
      <c r="F53" s="13">
        <f>IF('Raw Data'!F53="",0,'Raw Data'!F53)</f>
        <v>6</v>
      </c>
      <c r="G53" s="23">
        <f>'Raw Data'!G53</f>
        <v>11.8</v>
      </c>
      <c r="H53" s="23">
        <f t="shared" si="2"/>
        <v>70.800000000000011</v>
      </c>
      <c r="I53" s="23">
        <f>'Raw Data'!I53</f>
        <v>56.97</v>
      </c>
      <c r="J53" s="23">
        <f t="shared" si="3"/>
        <v>13.830000000000013</v>
      </c>
      <c r="K53" s="13" t="str">
        <f>IF('Raw Data'!K53="","Unknown",'Raw Data'!K53)</f>
        <v>Neha</v>
      </c>
      <c r="L53" s="24" t="str">
        <f>'Raw Data'!L53</f>
        <v>Business</v>
      </c>
    </row>
    <row r="54" spans="1:12" x14ac:dyDescent="0.3">
      <c r="A54" s="21" t="str">
        <f>'Raw Data'!A54</f>
        <v>ORD0053</v>
      </c>
      <c r="B54" s="22">
        <f>'Raw Data'!B54</f>
        <v>46014</v>
      </c>
      <c r="C54" s="13" t="str">
        <f>'Raw Data'!C54</f>
        <v>West</v>
      </c>
      <c r="D54" s="13" t="str">
        <f>'Raw Data'!D54</f>
        <v>Electronics</v>
      </c>
      <c r="E54" s="13" t="str">
        <f>'Raw Data'!E54</f>
        <v>Monitor</v>
      </c>
      <c r="F54" s="13">
        <f>IF('Raw Data'!F54="",0,'Raw Data'!F54)</f>
        <v>9</v>
      </c>
      <c r="G54" s="23">
        <f>'Raw Data'!G54</f>
        <v>209.93</v>
      </c>
      <c r="H54" s="23">
        <f t="shared" si="2"/>
        <v>1889.3700000000001</v>
      </c>
      <c r="I54" s="23">
        <f>'Raw Data'!I54</f>
        <v>1213.95</v>
      </c>
      <c r="J54" s="23">
        <f t="shared" si="3"/>
        <v>675.42000000000007</v>
      </c>
      <c r="K54" s="13" t="str">
        <f>IF('Raw Data'!K54="","Unknown",'Raw Data'!K54)</f>
        <v>Neha</v>
      </c>
      <c r="L54" s="24" t="str">
        <f>'Raw Data'!L54</f>
        <v>Business</v>
      </c>
    </row>
    <row r="55" spans="1:12" x14ac:dyDescent="0.3">
      <c r="A55" s="21" t="str">
        <f>'Raw Data'!A55</f>
        <v>ORD0054</v>
      </c>
      <c r="B55" s="22">
        <f>'Raw Data'!B55</f>
        <v>45973</v>
      </c>
      <c r="C55" s="13" t="str">
        <f>'Raw Data'!C55</f>
        <v>South</v>
      </c>
      <c r="D55" s="13" t="str">
        <f>'Raw Data'!D55</f>
        <v>Electronics</v>
      </c>
      <c r="E55" s="13" t="str">
        <f>'Raw Data'!E55</f>
        <v>Headphones</v>
      </c>
      <c r="F55" s="13">
        <f>IF('Raw Data'!F55="",0,'Raw Data'!F55)</f>
        <v>7</v>
      </c>
      <c r="G55" s="23">
        <f>'Raw Data'!G55</f>
        <v>46.78</v>
      </c>
      <c r="H55" s="23">
        <f t="shared" si="2"/>
        <v>327.46000000000004</v>
      </c>
      <c r="I55" s="23">
        <f>'Raw Data'!I55</f>
        <v>207.53</v>
      </c>
      <c r="J55" s="23">
        <f t="shared" si="3"/>
        <v>119.93000000000004</v>
      </c>
      <c r="K55" s="13" t="str">
        <f>IF('Raw Data'!K55="","Unknown",'Raw Data'!K55)</f>
        <v>Jay</v>
      </c>
      <c r="L55" s="24" t="str">
        <f>'Raw Data'!L55</f>
        <v>Returning</v>
      </c>
    </row>
    <row r="56" spans="1:12" x14ac:dyDescent="0.3">
      <c r="A56" s="21" t="str">
        <f>'Raw Data'!A56</f>
        <v>ORD0055</v>
      </c>
      <c r="B56" s="22">
        <f>'Raw Data'!B56</f>
        <v>45896</v>
      </c>
      <c r="C56" s="13" t="str">
        <f>'Raw Data'!C56</f>
        <v>East</v>
      </c>
      <c r="D56" s="13" t="str">
        <f>'Raw Data'!D56</f>
        <v>Furniture</v>
      </c>
      <c r="E56" s="13" t="str">
        <f>'Raw Data'!E56</f>
        <v>Desk</v>
      </c>
      <c r="F56" s="13">
        <f>IF('Raw Data'!F56="",0,'Raw Data'!F56)</f>
        <v>5</v>
      </c>
      <c r="G56" s="23">
        <f>'Raw Data'!G56</f>
        <v>170.79</v>
      </c>
      <c r="H56" s="23">
        <f t="shared" si="2"/>
        <v>853.94999999999993</v>
      </c>
      <c r="I56" s="23">
        <f>'Raw Data'!I56</f>
        <v>554.17999999999995</v>
      </c>
      <c r="J56" s="23">
        <f t="shared" si="3"/>
        <v>299.77</v>
      </c>
      <c r="K56" s="13" t="str">
        <f>IF('Raw Data'!K56="","Unknown",'Raw Data'!K56)</f>
        <v>Kiran</v>
      </c>
      <c r="L56" s="24" t="str">
        <f>'Raw Data'!L56</f>
        <v>Returning</v>
      </c>
    </row>
    <row r="57" spans="1:12" x14ac:dyDescent="0.3">
      <c r="A57" s="21" t="str">
        <f>'Raw Data'!A57</f>
        <v>ORD0056</v>
      </c>
      <c r="B57" s="22">
        <f>'Raw Data'!B57</f>
        <v>45995</v>
      </c>
      <c r="C57" s="13" t="str">
        <f>'Raw Data'!C57</f>
        <v>South</v>
      </c>
      <c r="D57" s="13" t="str">
        <f>'Raw Data'!D57</f>
        <v>Office Supplies</v>
      </c>
      <c r="E57" s="13" t="str">
        <f>'Raw Data'!E57</f>
        <v>Pen Set</v>
      </c>
      <c r="F57" s="13">
        <f>IF('Raw Data'!F57="",0,'Raw Data'!F57)</f>
        <v>9</v>
      </c>
      <c r="G57" s="23">
        <f>'Raw Data'!G57</f>
        <v>11.92</v>
      </c>
      <c r="H57" s="23">
        <f t="shared" si="2"/>
        <v>107.28</v>
      </c>
      <c r="I57" s="23">
        <f>'Raw Data'!I57</f>
        <v>84.79</v>
      </c>
      <c r="J57" s="23">
        <f t="shared" si="3"/>
        <v>22.489999999999995</v>
      </c>
      <c r="K57" s="13" t="str">
        <f>IF('Raw Data'!K57="","Unknown",'Raw Data'!K57)</f>
        <v>Asha</v>
      </c>
      <c r="L57" s="24" t="str">
        <f>'Raw Data'!L57</f>
        <v>Returning</v>
      </c>
    </row>
    <row r="58" spans="1:12" x14ac:dyDescent="0.3">
      <c r="A58" s="21" t="str">
        <f>'Raw Data'!A58</f>
        <v>ORD0057</v>
      </c>
      <c r="B58" s="22">
        <f>'Raw Data'!B58</f>
        <v>45773</v>
      </c>
      <c r="C58" s="13" t="str">
        <f>'Raw Data'!C58</f>
        <v>East</v>
      </c>
      <c r="D58" s="13" t="str">
        <f>'Raw Data'!D58</f>
        <v>Office Supplies</v>
      </c>
      <c r="E58" s="13" t="str">
        <f>'Raw Data'!E58</f>
        <v>Printer Paper</v>
      </c>
      <c r="F58" s="13">
        <f>IF('Raw Data'!F58="",0,'Raw Data'!F58)</f>
        <v>2</v>
      </c>
      <c r="G58" s="23">
        <f>'Raw Data'!G58</f>
        <v>8.61</v>
      </c>
      <c r="H58" s="23">
        <f t="shared" si="2"/>
        <v>17.22</v>
      </c>
      <c r="I58" s="23">
        <f>'Raw Data'!I58</f>
        <v>12.83</v>
      </c>
      <c r="J58" s="23">
        <f t="shared" si="3"/>
        <v>4.3899999999999988</v>
      </c>
      <c r="K58" s="13" t="str">
        <f>IF('Raw Data'!K58="","Unknown",'Raw Data'!K58)</f>
        <v>Ravi</v>
      </c>
      <c r="L58" s="24" t="str">
        <f>'Raw Data'!L58</f>
        <v>New</v>
      </c>
    </row>
    <row r="59" spans="1:12" x14ac:dyDescent="0.3">
      <c r="A59" s="21" t="str">
        <f>'Raw Data'!A59</f>
        <v>ORD0058</v>
      </c>
      <c r="B59" s="22">
        <f>'Raw Data'!B59</f>
        <v>45891</v>
      </c>
      <c r="C59" s="13" t="str">
        <f>'Raw Data'!C59</f>
        <v>North</v>
      </c>
      <c r="D59" s="13" t="str">
        <f>'Raw Data'!D59</f>
        <v>Electronics</v>
      </c>
      <c r="E59" s="13" t="str">
        <f>'Raw Data'!E59</f>
        <v>Laptop</v>
      </c>
      <c r="F59" s="13">
        <f>IF('Raw Data'!F59="",0,'Raw Data'!F59)</f>
        <v>4</v>
      </c>
      <c r="G59" s="23">
        <f>'Raw Data'!G59</f>
        <v>725.49</v>
      </c>
      <c r="H59" s="23">
        <f t="shared" si="2"/>
        <v>2901.96</v>
      </c>
      <c r="I59" s="23">
        <f>'Raw Data'!I59</f>
        <v>2041.19</v>
      </c>
      <c r="J59" s="23">
        <f t="shared" si="3"/>
        <v>860.77</v>
      </c>
      <c r="K59" s="13" t="str">
        <f>IF('Raw Data'!K59="","Unknown",'Raw Data'!K59)</f>
        <v>Kiran</v>
      </c>
      <c r="L59" s="24" t="str">
        <f>'Raw Data'!L59</f>
        <v>Business</v>
      </c>
    </row>
    <row r="60" spans="1:12" x14ac:dyDescent="0.3">
      <c r="A60" s="21" t="str">
        <f>'Raw Data'!A60</f>
        <v>ORD0059</v>
      </c>
      <c r="B60" s="22">
        <f>'Raw Data'!B60</f>
        <v>45733</v>
      </c>
      <c r="C60" s="13" t="str">
        <f>'Raw Data'!C60</f>
        <v>South</v>
      </c>
      <c r="D60" s="13" t="str">
        <f>'Raw Data'!D60</f>
        <v>Office Supplies</v>
      </c>
      <c r="E60" s="13" t="str">
        <f>'Raw Data'!E60</f>
        <v>Pen Set</v>
      </c>
      <c r="F60" s="13">
        <f>IF('Raw Data'!F60="",0,'Raw Data'!F60)</f>
        <v>12</v>
      </c>
      <c r="G60" s="23">
        <f>'Raw Data'!G60</f>
        <v>12.57</v>
      </c>
      <c r="H60" s="23">
        <f t="shared" si="2"/>
        <v>150.84</v>
      </c>
      <c r="I60" s="23">
        <f>'Raw Data'!I60</f>
        <v>100.81</v>
      </c>
      <c r="J60" s="23">
        <f t="shared" si="3"/>
        <v>50.03</v>
      </c>
      <c r="K60" s="13" t="str">
        <f>IF('Raw Data'!K60="","Unknown",'Raw Data'!K60)</f>
        <v>Asha</v>
      </c>
      <c r="L60" s="24" t="str">
        <f>'Raw Data'!L60</f>
        <v>New</v>
      </c>
    </row>
    <row r="61" spans="1:12" x14ac:dyDescent="0.3">
      <c r="A61" s="21" t="str">
        <f>'Raw Data'!A61</f>
        <v>ORD0060</v>
      </c>
      <c r="B61" s="22">
        <f>'Raw Data'!B61</f>
        <v>45683</v>
      </c>
      <c r="C61" s="13" t="str">
        <f>'Raw Data'!C61</f>
        <v>West</v>
      </c>
      <c r="D61" s="13" t="str">
        <f>'Raw Data'!D61</f>
        <v>Furniture</v>
      </c>
      <c r="E61" s="13" t="str">
        <f>'Raw Data'!E61</f>
        <v>Chair</v>
      </c>
      <c r="F61" s="13">
        <f>IF('Raw Data'!F61="",0,'Raw Data'!F61)</f>
        <v>3</v>
      </c>
      <c r="G61" s="23">
        <f>'Raw Data'!G61</f>
        <v>101.93</v>
      </c>
      <c r="H61" s="23">
        <f t="shared" si="2"/>
        <v>305.79000000000002</v>
      </c>
      <c r="I61" s="23">
        <f>'Raw Data'!I61</f>
        <v>222.85</v>
      </c>
      <c r="J61" s="23">
        <f t="shared" si="3"/>
        <v>82.940000000000026</v>
      </c>
      <c r="K61" s="13" t="str">
        <f>IF('Raw Data'!K61="","Unknown",'Raw Data'!K61)</f>
        <v>Jay</v>
      </c>
      <c r="L61" s="24" t="str">
        <f>'Raw Data'!L61</f>
        <v>New</v>
      </c>
    </row>
    <row r="62" spans="1:12" x14ac:dyDescent="0.3">
      <c r="A62" s="21" t="str">
        <f>'Raw Data'!A62</f>
        <v>ORD0061</v>
      </c>
      <c r="B62" s="22">
        <f>'Raw Data'!B62</f>
        <v>45884</v>
      </c>
      <c r="C62" s="13" t="str">
        <f>'Raw Data'!C62</f>
        <v>East</v>
      </c>
      <c r="D62" s="13" t="str">
        <f>'Raw Data'!D62</f>
        <v>Electronics</v>
      </c>
      <c r="E62" s="13" t="str">
        <f>'Raw Data'!E62</f>
        <v>Keyboard</v>
      </c>
      <c r="F62" s="13">
        <f>IF('Raw Data'!F62="",0,'Raw Data'!F62)</f>
        <v>3</v>
      </c>
      <c r="G62" s="23">
        <f>'Raw Data'!G62</f>
        <v>37.53</v>
      </c>
      <c r="H62" s="23">
        <f t="shared" si="2"/>
        <v>112.59</v>
      </c>
      <c r="I62" s="23">
        <f>'Raw Data'!I62</f>
        <v>81.099999999999994</v>
      </c>
      <c r="J62" s="23">
        <f t="shared" si="3"/>
        <v>31.490000000000009</v>
      </c>
      <c r="K62" s="13" t="str">
        <f>IF('Raw Data'!K62="","Unknown",'Raw Data'!K62)</f>
        <v>Jay</v>
      </c>
      <c r="L62" s="24" t="str">
        <f>'Raw Data'!L62</f>
        <v>Business</v>
      </c>
    </row>
    <row r="63" spans="1:12" x14ac:dyDescent="0.3">
      <c r="A63" s="21" t="str">
        <f>'Raw Data'!A63</f>
        <v>ORD0062</v>
      </c>
      <c r="B63" s="22">
        <f>'Raw Data'!B63</f>
        <v>45901</v>
      </c>
      <c r="C63" s="13" t="str">
        <f>'Raw Data'!C63</f>
        <v>South</v>
      </c>
      <c r="D63" s="13" t="str">
        <f>'Raw Data'!D63</f>
        <v>Office Supplies</v>
      </c>
      <c r="E63" s="13" t="str">
        <f>'Raw Data'!E63</f>
        <v>Stapler</v>
      </c>
      <c r="F63" s="13">
        <f>IF('Raw Data'!F63="",0,'Raw Data'!F63)</f>
        <v>14</v>
      </c>
      <c r="G63" s="23">
        <f>'Raw Data'!G63</f>
        <v>10.98</v>
      </c>
      <c r="H63" s="23">
        <f t="shared" si="2"/>
        <v>153.72</v>
      </c>
      <c r="I63" s="23">
        <f>'Raw Data'!I63</f>
        <v>100.5</v>
      </c>
      <c r="J63" s="23">
        <f t="shared" si="3"/>
        <v>53.22</v>
      </c>
      <c r="K63" s="13" t="str">
        <f>IF('Raw Data'!K63="","Unknown",'Raw Data'!K63)</f>
        <v>Kiran</v>
      </c>
      <c r="L63" s="24" t="str">
        <f>'Raw Data'!L63</f>
        <v>Returning</v>
      </c>
    </row>
    <row r="64" spans="1:12" x14ac:dyDescent="0.3">
      <c r="A64" s="21" t="str">
        <f>'Raw Data'!A64</f>
        <v>ORD0063</v>
      </c>
      <c r="B64" s="22">
        <f>'Raw Data'!B64</f>
        <v>45798</v>
      </c>
      <c r="C64" s="13" t="str">
        <f>'Raw Data'!C64</f>
        <v>South</v>
      </c>
      <c r="D64" s="13" t="str">
        <f>'Raw Data'!D64</f>
        <v>Electronics</v>
      </c>
      <c r="E64" s="13" t="str">
        <f>'Raw Data'!E64</f>
        <v>Monitor</v>
      </c>
      <c r="F64" s="13">
        <f>IF('Raw Data'!F64="",0,'Raw Data'!F64)</f>
        <v>13</v>
      </c>
      <c r="G64" s="23">
        <f>'Raw Data'!G64</f>
        <v>234.66</v>
      </c>
      <c r="H64" s="23">
        <f t="shared" si="2"/>
        <v>3050.58</v>
      </c>
      <c r="I64" s="23">
        <f>'Raw Data'!I64</f>
        <v>2029.79</v>
      </c>
      <c r="J64" s="23">
        <f t="shared" si="3"/>
        <v>1020.79</v>
      </c>
      <c r="K64" s="13" t="str">
        <f>IF('Raw Data'!K64="","Unknown",'Raw Data'!K64)</f>
        <v>Kiran</v>
      </c>
      <c r="L64" s="24" t="str">
        <f>'Raw Data'!L64</f>
        <v>New</v>
      </c>
    </row>
    <row r="65" spans="1:12" x14ac:dyDescent="0.3">
      <c r="A65" s="21" t="str">
        <f>'Raw Data'!A65</f>
        <v>ORD0064</v>
      </c>
      <c r="B65" s="22">
        <f>'Raw Data'!B65</f>
        <v>45728</v>
      </c>
      <c r="C65" s="13" t="str">
        <f>'Raw Data'!C65</f>
        <v>North</v>
      </c>
      <c r="D65" s="13" t="str">
        <f>'Raw Data'!D65</f>
        <v>Office Supplies</v>
      </c>
      <c r="E65" s="13" t="str">
        <f>'Raw Data'!E65</f>
        <v>Printer Paper</v>
      </c>
      <c r="F65" s="13">
        <f>IF('Raw Data'!F65="",0,'Raw Data'!F65)</f>
        <v>4</v>
      </c>
      <c r="G65" s="23">
        <f>'Raw Data'!G65</f>
        <v>7.56</v>
      </c>
      <c r="H65" s="23">
        <f t="shared" si="2"/>
        <v>30.24</v>
      </c>
      <c r="I65" s="23">
        <f>'Raw Data'!I65</f>
        <v>18.63</v>
      </c>
      <c r="J65" s="23">
        <f t="shared" si="3"/>
        <v>11.61</v>
      </c>
      <c r="K65" s="13" t="str">
        <f>IF('Raw Data'!K65="","Unknown",'Raw Data'!K65)</f>
        <v>Ravi</v>
      </c>
      <c r="L65" s="24" t="str">
        <f>'Raw Data'!L65</f>
        <v>New</v>
      </c>
    </row>
    <row r="66" spans="1:12" x14ac:dyDescent="0.3">
      <c r="A66" s="21" t="str">
        <f>'Raw Data'!A66</f>
        <v>ORD0065</v>
      </c>
      <c r="B66" s="22">
        <f>'Raw Data'!B66</f>
        <v>45935</v>
      </c>
      <c r="C66" s="13" t="str">
        <f>'Raw Data'!C66</f>
        <v>East</v>
      </c>
      <c r="D66" s="13" t="str">
        <f>'Raw Data'!D66</f>
        <v>Furniture</v>
      </c>
      <c r="E66" s="13" t="str">
        <f>'Raw Data'!E66</f>
        <v>Chair</v>
      </c>
      <c r="F66" s="13">
        <f>IF('Raw Data'!F66="",0,'Raw Data'!F66)</f>
        <v>12</v>
      </c>
      <c r="G66" s="23">
        <f>'Raw Data'!G66</f>
        <v>88.48</v>
      </c>
      <c r="H66" s="23">
        <f t="shared" ref="H66:H97" si="4">F66*G66</f>
        <v>1061.76</v>
      </c>
      <c r="I66" s="23">
        <f>'Raw Data'!I66</f>
        <v>684.26</v>
      </c>
      <c r="J66" s="23">
        <f t="shared" ref="J66:J97" si="5">H66-I66</f>
        <v>377.5</v>
      </c>
      <c r="K66" s="13" t="str">
        <f>IF('Raw Data'!K66="","Unknown",'Raw Data'!K66)</f>
        <v>Kiran</v>
      </c>
      <c r="L66" s="24" t="str">
        <f>'Raw Data'!L66</f>
        <v>Returning</v>
      </c>
    </row>
    <row r="67" spans="1:12" x14ac:dyDescent="0.3">
      <c r="A67" s="21" t="str">
        <f>'Raw Data'!A67</f>
        <v>ORD0066</v>
      </c>
      <c r="B67" s="22">
        <f>'Raw Data'!B67</f>
        <v>45952</v>
      </c>
      <c r="C67" s="13" t="str">
        <f>'Raw Data'!C67</f>
        <v>North</v>
      </c>
      <c r="D67" s="13" t="str">
        <f>'Raw Data'!D67</f>
        <v>Electronics</v>
      </c>
      <c r="E67" s="13" t="str">
        <f>'Raw Data'!E67</f>
        <v>Headphones</v>
      </c>
      <c r="F67" s="13">
        <f>IF('Raw Data'!F67="",0,'Raw Data'!F67)</f>
        <v>14</v>
      </c>
      <c r="G67" s="23">
        <f>'Raw Data'!G67</f>
        <v>44.14</v>
      </c>
      <c r="H67" s="23">
        <f t="shared" si="4"/>
        <v>617.96</v>
      </c>
      <c r="I67" s="23">
        <f>'Raw Data'!I67</f>
        <v>489.09</v>
      </c>
      <c r="J67" s="23">
        <f t="shared" si="5"/>
        <v>128.87000000000006</v>
      </c>
      <c r="K67" s="13" t="str">
        <f>IF('Raw Data'!K67="","Unknown",'Raw Data'!K67)</f>
        <v>Kiran</v>
      </c>
      <c r="L67" s="24" t="str">
        <f>'Raw Data'!L67</f>
        <v>Returning</v>
      </c>
    </row>
    <row r="68" spans="1:12" x14ac:dyDescent="0.3">
      <c r="A68" s="21" t="str">
        <f>'Raw Data'!A68</f>
        <v>ORD0067</v>
      </c>
      <c r="B68" s="22">
        <f>'Raw Data'!B68</f>
        <v>45933</v>
      </c>
      <c r="C68" s="13" t="str">
        <f>'Raw Data'!C68</f>
        <v>West</v>
      </c>
      <c r="D68" s="13" t="str">
        <f>'Raw Data'!D68</f>
        <v>Electronics</v>
      </c>
      <c r="E68" s="13" t="str">
        <f>'Raw Data'!E68</f>
        <v>Monitor</v>
      </c>
      <c r="F68" s="13">
        <f>IF('Raw Data'!F68="",0,'Raw Data'!F68)</f>
        <v>5</v>
      </c>
      <c r="G68" s="23">
        <f>'Raw Data'!G68</f>
        <v>233.38</v>
      </c>
      <c r="H68" s="23">
        <f t="shared" si="4"/>
        <v>1166.9000000000001</v>
      </c>
      <c r="I68" s="23">
        <f>'Raw Data'!I68</f>
        <v>905.55</v>
      </c>
      <c r="J68" s="23">
        <f t="shared" si="5"/>
        <v>261.35000000000014</v>
      </c>
      <c r="K68" s="13" t="str">
        <f>IF('Raw Data'!K68="","Unknown",'Raw Data'!K68)</f>
        <v>Jay</v>
      </c>
      <c r="L68" s="24" t="str">
        <f>'Raw Data'!L68</f>
        <v>Business</v>
      </c>
    </row>
    <row r="69" spans="1:12" x14ac:dyDescent="0.3">
      <c r="A69" s="21" t="str">
        <f>'Raw Data'!A69</f>
        <v>ORD0068</v>
      </c>
      <c r="B69" s="22">
        <f>'Raw Data'!B69</f>
        <v>45830</v>
      </c>
      <c r="C69" s="13" t="str">
        <f>'Raw Data'!C69</f>
        <v>West</v>
      </c>
      <c r="D69" s="13" t="str">
        <f>'Raw Data'!D69</f>
        <v>Electronics</v>
      </c>
      <c r="E69" s="13" t="str">
        <f>'Raw Data'!E69</f>
        <v>Keyboard</v>
      </c>
      <c r="F69" s="13">
        <f>IF('Raw Data'!F69="",0,'Raw Data'!F69)</f>
        <v>4</v>
      </c>
      <c r="G69" s="23">
        <f>'Raw Data'!G69</f>
        <v>33.090000000000003</v>
      </c>
      <c r="H69" s="23">
        <f t="shared" si="4"/>
        <v>132.36000000000001</v>
      </c>
      <c r="I69" s="23">
        <f>'Raw Data'!I69</f>
        <v>88.11</v>
      </c>
      <c r="J69" s="23">
        <f t="shared" si="5"/>
        <v>44.250000000000014</v>
      </c>
      <c r="K69" s="13" t="str">
        <f>IF('Raw Data'!K69="","Unknown",'Raw Data'!K69)</f>
        <v>Kiran</v>
      </c>
      <c r="L69" s="24" t="str">
        <f>'Raw Data'!L69</f>
        <v>Business</v>
      </c>
    </row>
    <row r="70" spans="1:12" x14ac:dyDescent="0.3">
      <c r="A70" s="21" t="str">
        <f>'Raw Data'!A70</f>
        <v>ORD0069</v>
      </c>
      <c r="B70" s="22">
        <f>'Raw Data'!B70</f>
        <v>45859</v>
      </c>
      <c r="C70" s="13" t="str">
        <f>'Raw Data'!C70</f>
        <v>North</v>
      </c>
      <c r="D70" s="13" t="str">
        <f>'Raw Data'!D70</f>
        <v>Electronics</v>
      </c>
      <c r="E70" s="13" t="str">
        <f>'Raw Data'!E70</f>
        <v>Keyboard</v>
      </c>
      <c r="F70" s="13">
        <f>IF('Raw Data'!F70="",0,'Raw Data'!F70)</f>
        <v>15</v>
      </c>
      <c r="G70" s="23">
        <f>'Raw Data'!G70</f>
        <v>31.87</v>
      </c>
      <c r="H70" s="23">
        <f t="shared" si="4"/>
        <v>478.05</v>
      </c>
      <c r="I70" s="23">
        <f>'Raw Data'!I70</f>
        <v>337.83</v>
      </c>
      <c r="J70" s="23">
        <f t="shared" si="5"/>
        <v>140.22000000000003</v>
      </c>
      <c r="K70" s="13" t="str">
        <f>IF('Raw Data'!K70="","Unknown",'Raw Data'!K70)</f>
        <v>Jay</v>
      </c>
      <c r="L70" s="24" t="str">
        <f>'Raw Data'!L70</f>
        <v>Business</v>
      </c>
    </row>
    <row r="71" spans="1:12" x14ac:dyDescent="0.3">
      <c r="A71" s="21" t="str">
        <f>'Raw Data'!A71</f>
        <v>ORD0070</v>
      </c>
      <c r="B71" s="22">
        <f>'Raw Data'!B71</f>
        <v>45751</v>
      </c>
      <c r="C71" s="13" t="str">
        <f>'Raw Data'!C71</f>
        <v>West</v>
      </c>
      <c r="D71" s="13" t="str">
        <f>'Raw Data'!D71</f>
        <v>Office Supplies</v>
      </c>
      <c r="E71" s="13" t="str">
        <f>'Raw Data'!E71</f>
        <v>Notebook</v>
      </c>
      <c r="F71" s="13">
        <f>IF('Raw Data'!F71="",0,'Raw Data'!F71)</f>
        <v>2</v>
      </c>
      <c r="G71" s="23">
        <f>'Raw Data'!G71</f>
        <v>5.17</v>
      </c>
      <c r="H71" s="23">
        <f t="shared" si="4"/>
        <v>10.34</v>
      </c>
      <c r="I71" s="23">
        <f>'Raw Data'!I71</f>
        <v>5.8</v>
      </c>
      <c r="J71" s="23">
        <f t="shared" si="5"/>
        <v>4.54</v>
      </c>
      <c r="K71" s="13" t="str">
        <f>IF('Raw Data'!K71="","Unknown",'Raw Data'!K71)</f>
        <v>Asha</v>
      </c>
      <c r="L71" s="24" t="str">
        <f>'Raw Data'!L71</f>
        <v>Returning</v>
      </c>
    </row>
    <row r="72" spans="1:12" x14ac:dyDescent="0.3">
      <c r="A72" s="21" t="str">
        <f>'Raw Data'!A72</f>
        <v>ORD0071</v>
      </c>
      <c r="B72" s="22">
        <f>'Raw Data'!B72</f>
        <v>45800</v>
      </c>
      <c r="C72" s="13" t="str">
        <f>'Raw Data'!C72</f>
        <v>West</v>
      </c>
      <c r="D72" s="13" t="str">
        <f>'Raw Data'!D72</f>
        <v>Furniture</v>
      </c>
      <c r="E72" s="13" t="str">
        <f>'Raw Data'!E72</f>
        <v>Bookshelf</v>
      </c>
      <c r="F72" s="13">
        <f>IF('Raw Data'!F72="",0,'Raw Data'!F72)</f>
        <v>4</v>
      </c>
      <c r="G72" s="23">
        <f>'Raw Data'!G72</f>
        <v>138.47999999999999</v>
      </c>
      <c r="H72" s="23">
        <f t="shared" si="4"/>
        <v>553.91999999999996</v>
      </c>
      <c r="I72" s="23">
        <f>'Raw Data'!I72</f>
        <v>344.12</v>
      </c>
      <c r="J72" s="23">
        <f t="shared" si="5"/>
        <v>209.79999999999995</v>
      </c>
      <c r="K72" s="13" t="str">
        <f>IF('Raw Data'!K72="","Unknown",'Raw Data'!K72)</f>
        <v>Kiran</v>
      </c>
      <c r="L72" s="24" t="str">
        <f>'Raw Data'!L72</f>
        <v>Returning</v>
      </c>
    </row>
    <row r="73" spans="1:12" x14ac:dyDescent="0.3">
      <c r="A73" s="21" t="str">
        <f>'Raw Data'!A73</f>
        <v>ORD0072</v>
      </c>
      <c r="B73" s="22">
        <f>'Raw Data'!B73</f>
        <v>45772</v>
      </c>
      <c r="C73" s="13" t="str">
        <f>'Raw Data'!C73</f>
        <v>East</v>
      </c>
      <c r="D73" s="13" t="str">
        <f>'Raw Data'!D73</f>
        <v>Electronics</v>
      </c>
      <c r="E73" s="13" t="str">
        <f>'Raw Data'!E73</f>
        <v>Keyboard</v>
      </c>
      <c r="F73" s="13">
        <f>IF('Raw Data'!F73="",0,'Raw Data'!F73)</f>
        <v>1</v>
      </c>
      <c r="G73" s="23">
        <f>'Raw Data'!G73</f>
        <v>37.090000000000003</v>
      </c>
      <c r="H73" s="23">
        <f t="shared" si="4"/>
        <v>37.090000000000003</v>
      </c>
      <c r="I73" s="23">
        <f>'Raw Data'!I73</f>
        <v>19.87</v>
      </c>
      <c r="J73" s="23">
        <f t="shared" si="5"/>
        <v>17.220000000000002</v>
      </c>
      <c r="K73" s="13" t="str">
        <f>IF('Raw Data'!K73="","Unknown",'Raw Data'!K73)</f>
        <v>Asha</v>
      </c>
      <c r="L73" s="24" t="str">
        <f>'Raw Data'!L73</f>
        <v>Business</v>
      </c>
    </row>
    <row r="74" spans="1:12" x14ac:dyDescent="0.3">
      <c r="A74" s="21" t="str">
        <f>'Raw Data'!A74</f>
        <v>ORD0073</v>
      </c>
      <c r="B74" s="22">
        <f>'Raw Data'!B74</f>
        <v>45780</v>
      </c>
      <c r="C74" s="13" t="str">
        <f>'Raw Data'!C74</f>
        <v>South</v>
      </c>
      <c r="D74" s="13" t="str">
        <f>'Raw Data'!D74</f>
        <v>Electronics</v>
      </c>
      <c r="E74" s="13" t="str">
        <f>'Raw Data'!E74</f>
        <v>Laptop</v>
      </c>
      <c r="F74" s="13">
        <f>IF('Raw Data'!F74="",0,'Raw Data'!F74)</f>
        <v>4</v>
      </c>
      <c r="G74" s="23">
        <f>'Raw Data'!G74</f>
        <v>603.1</v>
      </c>
      <c r="H74" s="23">
        <f t="shared" si="4"/>
        <v>2412.4</v>
      </c>
      <c r="I74" s="23">
        <f>'Raw Data'!I74</f>
        <v>1269.2</v>
      </c>
      <c r="J74" s="23">
        <f t="shared" si="5"/>
        <v>1143.2</v>
      </c>
      <c r="K74" s="13" t="str">
        <f>IF('Raw Data'!K74="","Unknown",'Raw Data'!K74)</f>
        <v>Ravi</v>
      </c>
      <c r="L74" s="24" t="str">
        <f>'Raw Data'!L74</f>
        <v>Returning</v>
      </c>
    </row>
    <row r="75" spans="1:12" x14ac:dyDescent="0.3">
      <c r="A75" s="21" t="str">
        <f>'Raw Data'!A75</f>
        <v>ORD0074</v>
      </c>
      <c r="B75" s="22">
        <f>'Raw Data'!B75</f>
        <v>45846</v>
      </c>
      <c r="C75" s="13" t="str">
        <f>'Raw Data'!C75</f>
        <v>East</v>
      </c>
      <c r="D75" s="13" t="str">
        <f>'Raw Data'!D75</f>
        <v>Office Supplies</v>
      </c>
      <c r="E75" s="13" t="str">
        <f>'Raw Data'!E75</f>
        <v>Notebook</v>
      </c>
      <c r="F75" s="13">
        <f>IF('Raw Data'!F75="",0,'Raw Data'!F75)</f>
        <v>10</v>
      </c>
      <c r="G75" s="23">
        <f>'Raw Data'!G75</f>
        <v>5.54</v>
      </c>
      <c r="H75" s="23">
        <f t="shared" si="4"/>
        <v>55.4</v>
      </c>
      <c r="I75" s="23">
        <f>'Raw Data'!I75</f>
        <v>36.54</v>
      </c>
      <c r="J75" s="23">
        <f t="shared" si="5"/>
        <v>18.86</v>
      </c>
      <c r="K75" s="13" t="str">
        <f>IF('Raw Data'!K75="","Unknown",'Raw Data'!K75)</f>
        <v>Ravi</v>
      </c>
      <c r="L75" s="24" t="str">
        <f>'Raw Data'!L75</f>
        <v>Business</v>
      </c>
    </row>
    <row r="76" spans="1:12" x14ac:dyDescent="0.3">
      <c r="A76" s="21" t="str">
        <f>'Raw Data'!A76</f>
        <v>ORD0075</v>
      </c>
      <c r="B76" s="22">
        <f>'Raw Data'!B76</f>
        <v>45954</v>
      </c>
      <c r="C76" s="13" t="str">
        <f>'Raw Data'!C76</f>
        <v>North</v>
      </c>
      <c r="D76" s="13" t="str">
        <f>'Raw Data'!D76</f>
        <v>Office Supplies</v>
      </c>
      <c r="E76" s="13" t="str">
        <f>'Raw Data'!E76</f>
        <v>Notebook</v>
      </c>
      <c r="F76" s="13">
        <f>IF('Raw Data'!F76="",0,'Raw Data'!F76)</f>
        <v>13</v>
      </c>
      <c r="G76" s="23">
        <f>'Raw Data'!G76</f>
        <v>5.38</v>
      </c>
      <c r="H76" s="23">
        <f t="shared" si="4"/>
        <v>69.94</v>
      </c>
      <c r="I76" s="23">
        <f>'Raw Data'!I76</f>
        <v>56.61</v>
      </c>
      <c r="J76" s="23">
        <f t="shared" si="5"/>
        <v>13.329999999999998</v>
      </c>
      <c r="K76" s="13" t="str">
        <f>IF('Raw Data'!K76="","Unknown",'Raw Data'!K76)</f>
        <v>Asha</v>
      </c>
      <c r="L76" s="24" t="str">
        <f>'Raw Data'!L76</f>
        <v>Returning</v>
      </c>
    </row>
    <row r="77" spans="1:12" x14ac:dyDescent="0.3">
      <c r="A77" s="21" t="str">
        <f>'Raw Data'!A77</f>
        <v>ORD0076</v>
      </c>
      <c r="B77" s="22">
        <f>'Raw Data'!B77</f>
        <v>45710</v>
      </c>
      <c r="C77" s="13" t="str">
        <f>'Raw Data'!C77</f>
        <v>South</v>
      </c>
      <c r="D77" s="13" t="str">
        <f>'Raw Data'!D77</f>
        <v>Office Supplies</v>
      </c>
      <c r="E77" s="13" t="str">
        <f>'Raw Data'!E77</f>
        <v>Stapler</v>
      </c>
      <c r="F77" s="13">
        <f>IF('Raw Data'!F77="",0,'Raw Data'!F77)</f>
        <v>7</v>
      </c>
      <c r="G77" s="23">
        <f>'Raw Data'!G77</f>
        <v>11.06</v>
      </c>
      <c r="H77" s="23">
        <f t="shared" si="4"/>
        <v>77.42</v>
      </c>
      <c r="I77" s="23">
        <f>'Raw Data'!I77</f>
        <v>44.86</v>
      </c>
      <c r="J77" s="23">
        <f t="shared" si="5"/>
        <v>32.56</v>
      </c>
      <c r="K77" s="13" t="str">
        <f>IF('Raw Data'!K77="","Unknown",'Raw Data'!K77)</f>
        <v>Neha</v>
      </c>
      <c r="L77" s="24" t="str">
        <f>'Raw Data'!L77</f>
        <v>Business</v>
      </c>
    </row>
    <row r="78" spans="1:12" x14ac:dyDescent="0.3">
      <c r="A78" s="21" t="str">
        <f>'Raw Data'!A78</f>
        <v>ORD0077</v>
      </c>
      <c r="B78" s="22">
        <f>'Raw Data'!B78</f>
        <v>45930</v>
      </c>
      <c r="C78" s="13" t="str">
        <f>'Raw Data'!C78</f>
        <v>East</v>
      </c>
      <c r="D78" s="13" t="str">
        <f>'Raw Data'!D78</f>
        <v>Office Supplies</v>
      </c>
      <c r="E78" s="13" t="str">
        <f>'Raw Data'!E78</f>
        <v>Notebook</v>
      </c>
      <c r="F78" s="13">
        <f>IF('Raw Data'!F78="",0,'Raw Data'!F78)</f>
        <v>13</v>
      </c>
      <c r="G78" s="23">
        <f>'Raw Data'!G78</f>
        <v>5.58</v>
      </c>
      <c r="H78" s="23">
        <f t="shared" si="4"/>
        <v>72.540000000000006</v>
      </c>
      <c r="I78" s="23">
        <f>'Raw Data'!I78</f>
        <v>54.75</v>
      </c>
      <c r="J78" s="23">
        <f t="shared" si="5"/>
        <v>17.790000000000006</v>
      </c>
      <c r="K78" s="13" t="str">
        <f>IF('Raw Data'!K78="","Unknown",'Raw Data'!K78)</f>
        <v>Kiran</v>
      </c>
      <c r="L78" s="24" t="str">
        <f>'Raw Data'!L78</f>
        <v>Business</v>
      </c>
    </row>
    <row r="79" spans="1:12" x14ac:dyDescent="0.3">
      <c r="A79" s="21" t="str">
        <f>'Raw Data'!A79</f>
        <v>ORD0078</v>
      </c>
      <c r="B79" s="22">
        <f>'Raw Data'!B79</f>
        <v>45908</v>
      </c>
      <c r="C79" s="13" t="str">
        <f>'Raw Data'!C79</f>
        <v>West</v>
      </c>
      <c r="D79" s="13" t="str">
        <f>'Raw Data'!D79</f>
        <v>Furniture</v>
      </c>
      <c r="E79" s="13" t="str">
        <f>'Raw Data'!E79</f>
        <v>Desk</v>
      </c>
      <c r="F79" s="13">
        <f>IF('Raw Data'!F79="",0,'Raw Data'!F79)</f>
        <v>9</v>
      </c>
      <c r="G79" s="23">
        <f>'Raw Data'!G79</f>
        <v>186.37</v>
      </c>
      <c r="H79" s="23">
        <f t="shared" si="4"/>
        <v>1677.33</v>
      </c>
      <c r="I79" s="23">
        <f>'Raw Data'!I79</f>
        <v>878.58</v>
      </c>
      <c r="J79" s="23">
        <f t="shared" si="5"/>
        <v>798.74999999999989</v>
      </c>
      <c r="K79" s="13" t="str">
        <f>IF('Raw Data'!K79="","Unknown",'Raw Data'!K79)</f>
        <v>Asha</v>
      </c>
      <c r="L79" s="24" t="str">
        <f>'Raw Data'!L79</f>
        <v>Returning</v>
      </c>
    </row>
    <row r="80" spans="1:12" x14ac:dyDescent="0.3">
      <c r="A80" s="21" t="str">
        <f>'Raw Data'!A80</f>
        <v>ORD0079</v>
      </c>
      <c r="B80" s="22">
        <f>'Raw Data'!B80</f>
        <v>45973</v>
      </c>
      <c r="C80" s="13" t="str">
        <f>'Raw Data'!C80</f>
        <v>East</v>
      </c>
      <c r="D80" s="13" t="str">
        <f>'Raw Data'!D80</f>
        <v>Furniture</v>
      </c>
      <c r="E80" s="13" t="str">
        <f>'Raw Data'!E80</f>
        <v>Cabinet</v>
      </c>
      <c r="F80" s="13">
        <f>IF('Raw Data'!F80="",0,'Raw Data'!F80)</f>
        <v>12</v>
      </c>
      <c r="G80" s="23">
        <f>'Raw Data'!G80</f>
        <v>146.66999999999999</v>
      </c>
      <c r="H80" s="23">
        <f t="shared" si="4"/>
        <v>1760.04</v>
      </c>
      <c r="I80" s="23">
        <f>'Raw Data'!I80</f>
        <v>1008.22</v>
      </c>
      <c r="J80" s="23">
        <f t="shared" si="5"/>
        <v>751.81999999999994</v>
      </c>
      <c r="K80" s="13" t="str">
        <f>IF('Raw Data'!K80="","Unknown",'Raw Data'!K80)</f>
        <v>Jay</v>
      </c>
      <c r="L80" s="24" t="str">
        <f>'Raw Data'!L80</f>
        <v>Returning</v>
      </c>
    </row>
    <row r="81" spans="1:12" x14ac:dyDescent="0.3">
      <c r="A81" s="21" t="str">
        <f>'Raw Data'!A81</f>
        <v>ORD0080</v>
      </c>
      <c r="B81" s="22">
        <f>'Raw Data'!B81</f>
        <v>45702</v>
      </c>
      <c r="C81" s="13" t="str">
        <f>'Raw Data'!C81</f>
        <v>South</v>
      </c>
      <c r="D81" s="13" t="str">
        <f>'Raw Data'!D81</f>
        <v>Furniture</v>
      </c>
      <c r="E81" s="13" t="str">
        <f>'Raw Data'!E81</f>
        <v>Cabinet</v>
      </c>
      <c r="F81" s="13">
        <f>IF('Raw Data'!F81="",0,'Raw Data'!F81)</f>
        <v>14</v>
      </c>
      <c r="G81" s="23">
        <f>'Raw Data'!G81</f>
        <v>168.87</v>
      </c>
      <c r="H81" s="23">
        <f t="shared" si="4"/>
        <v>2364.1800000000003</v>
      </c>
      <c r="I81" s="23">
        <f>'Raw Data'!I81</f>
        <v>1419.73</v>
      </c>
      <c r="J81" s="23">
        <f t="shared" si="5"/>
        <v>944.45000000000027</v>
      </c>
      <c r="K81" s="13" t="str">
        <f>IF('Raw Data'!K81="","Unknown",'Raw Data'!K81)</f>
        <v>Neha</v>
      </c>
      <c r="L81" s="24" t="str">
        <f>'Raw Data'!L81</f>
        <v>Returning</v>
      </c>
    </row>
    <row r="82" spans="1:12" x14ac:dyDescent="0.3">
      <c r="A82" s="21" t="str">
        <f>'Raw Data'!A82</f>
        <v>ORD0081</v>
      </c>
      <c r="B82" s="22">
        <f>'Raw Data'!B82</f>
        <v>45911</v>
      </c>
      <c r="C82" s="13" t="str">
        <f>'Raw Data'!C82</f>
        <v>North</v>
      </c>
      <c r="D82" s="13" t="str">
        <f>'Raw Data'!D82</f>
        <v>Electronics</v>
      </c>
      <c r="E82" s="13" t="str">
        <f>'Raw Data'!E82</f>
        <v>Keyboard</v>
      </c>
      <c r="F82" s="13">
        <f>IF('Raw Data'!F82="",0,'Raw Data'!F82)</f>
        <v>10</v>
      </c>
      <c r="G82" s="23">
        <f>'Raw Data'!G82</f>
        <v>35.93</v>
      </c>
      <c r="H82" s="23">
        <f t="shared" si="4"/>
        <v>359.3</v>
      </c>
      <c r="I82" s="23">
        <f>'Raw Data'!I82</f>
        <v>227.69</v>
      </c>
      <c r="J82" s="23">
        <f t="shared" si="5"/>
        <v>131.61000000000001</v>
      </c>
      <c r="K82" s="13" t="str">
        <f>IF('Raw Data'!K82="","Unknown",'Raw Data'!K82)</f>
        <v>Neha</v>
      </c>
      <c r="L82" s="24" t="str">
        <f>'Raw Data'!L82</f>
        <v>New</v>
      </c>
    </row>
    <row r="83" spans="1:12" x14ac:dyDescent="0.3">
      <c r="A83" s="21" t="str">
        <f>'Raw Data'!A83</f>
        <v>ORD0082</v>
      </c>
      <c r="B83" s="22">
        <f>'Raw Data'!B83</f>
        <v>45942</v>
      </c>
      <c r="C83" s="13" t="str">
        <f>'Raw Data'!C83</f>
        <v>East</v>
      </c>
      <c r="D83" s="13" t="str">
        <f>'Raw Data'!D83</f>
        <v>Furniture</v>
      </c>
      <c r="E83" s="13" t="str">
        <f>'Raw Data'!E83</f>
        <v>Chair</v>
      </c>
      <c r="F83" s="13">
        <f>IF('Raw Data'!F83="",0,'Raw Data'!F83)</f>
        <v>6</v>
      </c>
      <c r="G83" s="23">
        <f>'Raw Data'!G83</f>
        <v>101.79</v>
      </c>
      <c r="H83" s="23">
        <f t="shared" si="4"/>
        <v>610.74</v>
      </c>
      <c r="I83" s="23">
        <f>'Raw Data'!I83</f>
        <v>379.94</v>
      </c>
      <c r="J83" s="23">
        <f t="shared" si="5"/>
        <v>230.8</v>
      </c>
      <c r="K83" s="13" t="str">
        <f>IF('Raw Data'!K83="","Unknown",'Raw Data'!K83)</f>
        <v>Asha</v>
      </c>
      <c r="L83" s="24" t="str">
        <f>'Raw Data'!L83</f>
        <v>Business</v>
      </c>
    </row>
    <row r="84" spans="1:12" x14ac:dyDescent="0.3">
      <c r="A84" s="21" t="str">
        <f>'Raw Data'!A84</f>
        <v>ORD0083</v>
      </c>
      <c r="B84" s="22">
        <f>'Raw Data'!B84</f>
        <v>46011</v>
      </c>
      <c r="C84" s="13" t="str">
        <f>'Raw Data'!C84</f>
        <v>South</v>
      </c>
      <c r="D84" s="13" t="str">
        <f>'Raw Data'!D84</f>
        <v>Electronics</v>
      </c>
      <c r="E84" s="13" t="str">
        <f>'Raw Data'!E84</f>
        <v>Laptop</v>
      </c>
      <c r="F84" s="13">
        <f>IF('Raw Data'!F84="",0,'Raw Data'!F84)</f>
        <v>4</v>
      </c>
      <c r="G84" s="23">
        <f>'Raw Data'!G84</f>
        <v>684.33</v>
      </c>
      <c r="H84" s="23">
        <f t="shared" si="4"/>
        <v>2737.32</v>
      </c>
      <c r="I84" s="23">
        <f>'Raw Data'!I84</f>
        <v>1824.62</v>
      </c>
      <c r="J84" s="23">
        <f t="shared" si="5"/>
        <v>912.70000000000027</v>
      </c>
      <c r="K84" s="13" t="str">
        <f>IF('Raw Data'!K84="","Unknown",'Raw Data'!K84)</f>
        <v>Kiran</v>
      </c>
      <c r="L84" s="24" t="str">
        <f>'Raw Data'!L84</f>
        <v>Business</v>
      </c>
    </row>
    <row r="85" spans="1:12" x14ac:dyDescent="0.3">
      <c r="A85" s="21" t="str">
        <f>'Raw Data'!A85</f>
        <v>ORD0084</v>
      </c>
      <c r="B85" s="22">
        <f>'Raw Data'!B85</f>
        <v>45865</v>
      </c>
      <c r="C85" s="13" t="str">
        <f>'Raw Data'!C85</f>
        <v>South</v>
      </c>
      <c r="D85" s="13" t="str">
        <f>'Raw Data'!D85</f>
        <v>Office Supplies</v>
      </c>
      <c r="E85" s="13" t="str">
        <f>'Raw Data'!E85</f>
        <v>Stapler</v>
      </c>
      <c r="F85" s="13">
        <f>IF('Raw Data'!F85="",0,'Raw Data'!F85)</f>
        <v>8</v>
      </c>
      <c r="G85" s="23">
        <f>'Raw Data'!G85</f>
        <v>10.7</v>
      </c>
      <c r="H85" s="23">
        <f t="shared" si="4"/>
        <v>85.6</v>
      </c>
      <c r="I85" s="23">
        <f>'Raw Data'!I85</f>
        <v>46.9</v>
      </c>
      <c r="J85" s="23">
        <f t="shared" si="5"/>
        <v>38.699999999999996</v>
      </c>
      <c r="K85" s="13" t="str">
        <f>IF('Raw Data'!K85="","Unknown",'Raw Data'!K85)</f>
        <v>Ravi</v>
      </c>
      <c r="L85" s="24" t="str">
        <f>'Raw Data'!L85</f>
        <v>Returning</v>
      </c>
    </row>
    <row r="86" spans="1:12" x14ac:dyDescent="0.3">
      <c r="A86" s="21" t="str">
        <f>'Raw Data'!A86</f>
        <v>ORD0085</v>
      </c>
      <c r="B86" s="22">
        <f>'Raw Data'!B86</f>
        <v>45838</v>
      </c>
      <c r="C86" s="13" t="str">
        <f>'Raw Data'!C86</f>
        <v>East</v>
      </c>
      <c r="D86" s="13" t="str">
        <f>'Raw Data'!D86</f>
        <v>Office Supplies</v>
      </c>
      <c r="E86" s="13" t="str">
        <f>'Raw Data'!E86</f>
        <v>Printer Paper</v>
      </c>
      <c r="F86" s="13">
        <f>IF('Raw Data'!F86="",0,'Raw Data'!F86)</f>
        <v>8</v>
      </c>
      <c r="G86" s="23">
        <f>'Raw Data'!G86</f>
        <v>8.1</v>
      </c>
      <c r="H86" s="23">
        <f t="shared" si="4"/>
        <v>64.8</v>
      </c>
      <c r="I86" s="23">
        <f>'Raw Data'!I86</f>
        <v>40.380000000000003</v>
      </c>
      <c r="J86" s="23">
        <f t="shared" si="5"/>
        <v>24.419999999999995</v>
      </c>
      <c r="K86" s="13" t="str">
        <f>IF('Raw Data'!K86="","Unknown",'Raw Data'!K86)</f>
        <v>Kiran</v>
      </c>
      <c r="L86" s="24" t="str">
        <f>'Raw Data'!L86</f>
        <v>Returning</v>
      </c>
    </row>
    <row r="87" spans="1:12" x14ac:dyDescent="0.3">
      <c r="A87" s="21" t="str">
        <f>'Raw Data'!A87</f>
        <v>ORD0086</v>
      </c>
      <c r="B87" s="22">
        <f>'Raw Data'!B87</f>
        <v>45932</v>
      </c>
      <c r="C87" s="13" t="str">
        <f>'Raw Data'!C87</f>
        <v>North</v>
      </c>
      <c r="D87" s="13" t="str">
        <f>'Raw Data'!D87</f>
        <v>Furniture</v>
      </c>
      <c r="E87" s="13" t="str">
        <f>'Raw Data'!E87</f>
        <v>Bookshelf</v>
      </c>
      <c r="F87" s="13">
        <f>IF('Raw Data'!F87="",0,'Raw Data'!F87)</f>
        <v>4</v>
      </c>
      <c r="G87" s="23">
        <f>'Raw Data'!G87</f>
        <v>127.25</v>
      </c>
      <c r="H87" s="23">
        <f t="shared" si="4"/>
        <v>509</v>
      </c>
      <c r="I87" s="23">
        <f>'Raw Data'!I87</f>
        <v>294.08999999999997</v>
      </c>
      <c r="J87" s="23">
        <f t="shared" si="5"/>
        <v>214.91000000000003</v>
      </c>
      <c r="K87" s="13" t="str">
        <f>IF('Raw Data'!K87="","Unknown",'Raw Data'!K87)</f>
        <v>Ravi</v>
      </c>
      <c r="L87" s="24" t="str">
        <f>'Raw Data'!L87</f>
        <v>New</v>
      </c>
    </row>
    <row r="88" spans="1:12" x14ac:dyDescent="0.3">
      <c r="A88" s="21" t="str">
        <f>'Raw Data'!A88</f>
        <v>ORD0087</v>
      </c>
      <c r="B88" s="22">
        <f>'Raw Data'!B88</f>
        <v>45709</v>
      </c>
      <c r="C88" s="13" t="str">
        <f>'Raw Data'!C88</f>
        <v>East</v>
      </c>
      <c r="D88" s="13" t="str">
        <f>'Raw Data'!D88</f>
        <v>Electronics</v>
      </c>
      <c r="E88" s="13" t="str">
        <f>'Raw Data'!E88</f>
        <v>Keyboard</v>
      </c>
      <c r="F88" s="13">
        <f>IF('Raw Data'!F88="",0,'Raw Data'!F88)</f>
        <v>5</v>
      </c>
      <c r="G88" s="23">
        <f>'Raw Data'!G88</f>
        <v>36.89</v>
      </c>
      <c r="H88" s="23">
        <f t="shared" si="4"/>
        <v>184.45</v>
      </c>
      <c r="I88" s="23">
        <f>'Raw Data'!I88</f>
        <v>149.94999999999999</v>
      </c>
      <c r="J88" s="23">
        <f t="shared" si="5"/>
        <v>34.5</v>
      </c>
      <c r="K88" s="13" t="str">
        <f>IF('Raw Data'!K88="","Unknown",'Raw Data'!K88)</f>
        <v>Ravi</v>
      </c>
      <c r="L88" s="24" t="str">
        <f>'Raw Data'!L88</f>
        <v>Returning</v>
      </c>
    </row>
    <row r="89" spans="1:12" x14ac:dyDescent="0.3">
      <c r="A89" s="21" t="str">
        <f>'Raw Data'!A89</f>
        <v>ORD0088</v>
      </c>
      <c r="B89" s="22">
        <f>'Raw Data'!B89</f>
        <v>45798</v>
      </c>
      <c r="C89" s="13" t="str">
        <f>'Raw Data'!C89</f>
        <v>South</v>
      </c>
      <c r="D89" s="13" t="str">
        <f>'Raw Data'!D89</f>
        <v>Electronics</v>
      </c>
      <c r="E89" s="13" t="str">
        <f>'Raw Data'!E89</f>
        <v>Monitor</v>
      </c>
      <c r="F89" s="13">
        <f>IF('Raw Data'!F89="",0,'Raw Data'!F89)</f>
        <v>3</v>
      </c>
      <c r="G89" s="23">
        <f>'Raw Data'!G89</f>
        <v>209.56</v>
      </c>
      <c r="H89" s="23">
        <f t="shared" si="4"/>
        <v>628.68000000000006</v>
      </c>
      <c r="I89" s="23">
        <f>'Raw Data'!I89</f>
        <v>460.45</v>
      </c>
      <c r="J89" s="23">
        <f t="shared" si="5"/>
        <v>168.23000000000008</v>
      </c>
      <c r="K89" s="13" t="str">
        <f>IF('Raw Data'!K89="","Unknown",'Raw Data'!K89)</f>
        <v>Asha</v>
      </c>
      <c r="L89" s="24" t="str">
        <f>'Raw Data'!L89</f>
        <v>New</v>
      </c>
    </row>
    <row r="90" spans="1:12" x14ac:dyDescent="0.3">
      <c r="A90" s="21" t="str">
        <f>'Raw Data'!A90</f>
        <v>ORD0089</v>
      </c>
      <c r="B90" s="22">
        <f>'Raw Data'!B90</f>
        <v>45710</v>
      </c>
      <c r="C90" s="13" t="str">
        <f>'Raw Data'!C90</f>
        <v>West</v>
      </c>
      <c r="D90" s="13" t="str">
        <f>'Raw Data'!D90</f>
        <v>Office Supplies</v>
      </c>
      <c r="E90" s="13" t="str">
        <f>'Raw Data'!E90</f>
        <v>Printer Paper</v>
      </c>
      <c r="F90" s="13">
        <f>IF('Raw Data'!F90="",0,'Raw Data'!F90)</f>
        <v>12</v>
      </c>
      <c r="G90" s="23">
        <f>'Raw Data'!G90</f>
        <v>8.85</v>
      </c>
      <c r="H90" s="23">
        <f t="shared" si="4"/>
        <v>106.19999999999999</v>
      </c>
      <c r="I90" s="23">
        <f>'Raw Data'!I90</f>
        <v>75.55</v>
      </c>
      <c r="J90" s="23">
        <f t="shared" si="5"/>
        <v>30.649999999999991</v>
      </c>
      <c r="K90" s="13" t="str">
        <f>IF('Raw Data'!K90="","Unknown",'Raw Data'!K90)</f>
        <v>Asha</v>
      </c>
      <c r="L90" s="24" t="str">
        <f>'Raw Data'!L90</f>
        <v>Business</v>
      </c>
    </row>
    <row r="91" spans="1:12" x14ac:dyDescent="0.3">
      <c r="A91" s="21" t="str">
        <f>'Raw Data'!A91</f>
        <v>ORD0090</v>
      </c>
      <c r="B91" s="22">
        <f>'Raw Data'!B91</f>
        <v>45787</v>
      </c>
      <c r="C91" s="13" t="str">
        <f>'Raw Data'!C91</f>
        <v>North</v>
      </c>
      <c r="D91" s="13" t="str">
        <f>'Raw Data'!D91</f>
        <v>Furniture</v>
      </c>
      <c r="E91" s="13" t="str">
        <f>'Raw Data'!E91</f>
        <v>Cabinet</v>
      </c>
      <c r="F91" s="13">
        <f>IF('Raw Data'!F91="",0,'Raw Data'!F91)</f>
        <v>8</v>
      </c>
      <c r="G91" s="23">
        <f>'Raw Data'!G91</f>
        <v>157.71</v>
      </c>
      <c r="H91" s="23">
        <f t="shared" si="4"/>
        <v>1261.68</v>
      </c>
      <c r="I91" s="23">
        <f>'Raw Data'!I91</f>
        <v>725.86</v>
      </c>
      <c r="J91" s="23">
        <f t="shared" si="5"/>
        <v>535.82000000000005</v>
      </c>
      <c r="K91" s="13" t="str">
        <f>IF('Raw Data'!K91="","Unknown",'Raw Data'!K91)</f>
        <v>Kiran</v>
      </c>
      <c r="L91" s="24" t="str">
        <f>'Raw Data'!L91</f>
        <v>New</v>
      </c>
    </row>
    <row r="92" spans="1:12" x14ac:dyDescent="0.3">
      <c r="A92" s="21" t="str">
        <f>'Raw Data'!A92</f>
        <v>ORD0091</v>
      </c>
      <c r="B92" s="22">
        <f>'Raw Data'!B92</f>
        <v>45735</v>
      </c>
      <c r="C92" s="13" t="str">
        <f>'Raw Data'!C92</f>
        <v>North</v>
      </c>
      <c r="D92" s="13" t="str">
        <f>'Raw Data'!D92</f>
        <v>Electronics</v>
      </c>
      <c r="E92" s="13" t="str">
        <f>'Raw Data'!E92</f>
        <v>Keyboard</v>
      </c>
      <c r="F92" s="13">
        <f>IF('Raw Data'!F92="",0,'Raw Data'!F92)</f>
        <v>8</v>
      </c>
      <c r="G92" s="23">
        <f>'Raw Data'!G92</f>
        <v>31.42</v>
      </c>
      <c r="H92" s="23">
        <f t="shared" si="4"/>
        <v>251.36</v>
      </c>
      <c r="I92" s="23">
        <f>'Raw Data'!I92</f>
        <v>178.17</v>
      </c>
      <c r="J92" s="23">
        <f t="shared" si="5"/>
        <v>73.190000000000026</v>
      </c>
      <c r="K92" s="13" t="str">
        <f>IF('Raw Data'!K92="","Unknown",'Raw Data'!K92)</f>
        <v>Ravi</v>
      </c>
      <c r="L92" s="24" t="str">
        <f>'Raw Data'!L92</f>
        <v>Business</v>
      </c>
    </row>
    <row r="93" spans="1:12" x14ac:dyDescent="0.3">
      <c r="A93" s="21" t="str">
        <f>'Raw Data'!A93</f>
        <v>ORD0092</v>
      </c>
      <c r="B93" s="22">
        <f>'Raw Data'!B93</f>
        <v>45925</v>
      </c>
      <c r="C93" s="13" t="str">
        <f>'Raw Data'!C93</f>
        <v>South</v>
      </c>
      <c r="D93" s="13" t="str">
        <f>'Raw Data'!D93</f>
        <v>Furniture</v>
      </c>
      <c r="E93" s="13" t="str">
        <f>'Raw Data'!E93</f>
        <v>Desk</v>
      </c>
      <c r="F93" s="13">
        <f>IF('Raw Data'!F93="",0,'Raw Data'!F93)</f>
        <v>4</v>
      </c>
      <c r="G93" s="23">
        <f>'Raw Data'!G93</f>
        <v>163.52000000000001</v>
      </c>
      <c r="H93" s="23">
        <f t="shared" si="4"/>
        <v>654.08000000000004</v>
      </c>
      <c r="I93" s="23">
        <f>'Raw Data'!I93</f>
        <v>490.12</v>
      </c>
      <c r="J93" s="23">
        <f t="shared" si="5"/>
        <v>163.96000000000004</v>
      </c>
      <c r="K93" s="13" t="str">
        <f>IF('Raw Data'!K93="","Unknown",'Raw Data'!K93)</f>
        <v>Kiran</v>
      </c>
      <c r="L93" s="24" t="str">
        <f>'Raw Data'!L93</f>
        <v>Returning</v>
      </c>
    </row>
    <row r="94" spans="1:12" x14ac:dyDescent="0.3">
      <c r="A94" s="21" t="str">
        <f>'Raw Data'!A94</f>
        <v>ORD0093</v>
      </c>
      <c r="B94" s="22">
        <f>'Raw Data'!B94</f>
        <v>45970</v>
      </c>
      <c r="C94" s="13" t="str">
        <f>'Raw Data'!C94</f>
        <v>North</v>
      </c>
      <c r="D94" s="13" t="str">
        <f>'Raw Data'!D94</f>
        <v>Furniture</v>
      </c>
      <c r="E94" s="13" t="str">
        <f>'Raw Data'!E94</f>
        <v>Bookshelf</v>
      </c>
      <c r="F94" s="13">
        <f>IF('Raw Data'!F94="",0,'Raw Data'!F94)</f>
        <v>14</v>
      </c>
      <c r="G94" s="23">
        <f>'Raw Data'!G94</f>
        <v>142.97</v>
      </c>
      <c r="H94" s="23">
        <f t="shared" si="4"/>
        <v>2001.58</v>
      </c>
      <c r="I94" s="23">
        <f>'Raw Data'!I94</f>
        <v>1298.32</v>
      </c>
      <c r="J94" s="23">
        <f t="shared" si="5"/>
        <v>703.26</v>
      </c>
      <c r="K94" s="13" t="str">
        <f>IF('Raw Data'!K94="","Unknown",'Raw Data'!K94)</f>
        <v>Asha</v>
      </c>
      <c r="L94" s="24" t="str">
        <f>'Raw Data'!L94</f>
        <v>New</v>
      </c>
    </row>
    <row r="95" spans="1:12" x14ac:dyDescent="0.3">
      <c r="A95" s="21" t="str">
        <f>'Raw Data'!A95</f>
        <v>ORD0094</v>
      </c>
      <c r="B95" s="22">
        <f>'Raw Data'!B95</f>
        <v>45940</v>
      </c>
      <c r="C95" s="13" t="str">
        <f>'Raw Data'!C95</f>
        <v>South</v>
      </c>
      <c r="D95" s="13" t="str">
        <f>'Raw Data'!D95</f>
        <v>Office Supplies</v>
      </c>
      <c r="E95" s="13" t="str">
        <f>'Raw Data'!E95</f>
        <v>Pen Set</v>
      </c>
      <c r="F95" s="13">
        <f>IF('Raw Data'!F95="",0,'Raw Data'!F95)</f>
        <v>5</v>
      </c>
      <c r="G95" s="23">
        <f>'Raw Data'!G95</f>
        <v>12.46</v>
      </c>
      <c r="H95" s="23">
        <f t="shared" si="4"/>
        <v>62.300000000000004</v>
      </c>
      <c r="I95" s="23">
        <f>'Raw Data'!I95</f>
        <v>35.33</v>
      </c>
      <c r="J95" s="23">
        <f t="shared" si="5"/>
        <v>26.970000000000006</v>
      </c>
      <c r="K95" s="13" t="str">
        <f>IF('Raw Data'!K95="","Unknown",'Raw Data'!K95)</f>
        <v>Asha</v>
      </c>
      <c r="L95" s="24" t="str">
        <f>'Raw Data'!L95</f>
        <v>New</v>
      </c>
    </row>
    <row r="96" spans="1:12" x14ac:dyDescent="0.3">
      <c r="A96" s="21" t="str">
        <f>'Raw Data'!A96</f>
        <v>ORD0095</v>
      </c>
      <c r="B96" s="22">
        <f>'Raw Data'!B96</f>
        <v>45776</v>
      </c>
      <c r="C96" s="13" t="str">
        <f>'Raw Data'!C96</f>
        <v>North</v>
      </c>
      <c r="D96" s="13" t="str">
        <f>'Raw Data'!D96</f>
        <v>Electronics</v>
      </c>
      <c r="E96" s="13" t="str">
        <f>'Raw Data'!E96</f>
        <v>Keyboard</v>
      </c>
      <c r="F96" s="13">
        <f>IF('Raw Data'!F96="",0,'Raw Data'!F96)</f>
        <v>8</v>
      </c>
      <c r="G96" s="23">
        <f>'Raw Data'!G96</f>
        <v>36.590000000000003</v>
      </c>
      <c r="H96" s="23">
        <f t="shared" si="4"/>
        <v>292.72000000000003</v>
      </c>
      <c r="I96" s="23">
        <f>'Raw Data'!I96</f>
        <v>193.48</v>
      </c>
      <c r="J96" s="23">
        <f t="shared" si="5"/>
        <v>99.240000000000038</v>
      </c>
      <c r="K96" s="13" t="str">
        <f>IF('Raw Data'!K96="","Unknown",'Raw Data'!K96)</f>
        <v>Neha</v>
      </c>
      <c r="L96" s="24" t="str">
        <f>'Raw Data'!L96</f>
        <v>Business</v>
      </c>
    </row>
    <row r="97" spans="1:12" x14ac:dyDescent="0.3">
      <c r="A97" s="21" t="str">
        <f>'Raw Data'!A97</f>
        <v>ORD0096</v>
      </c>
      <c r="B97" s="22">
        <f>'Raw Data'!B97</f>
        <v>45875</v>
      </c>
      <c r="C97" s="13" t="str">
        <f>'Raw Data'!C97</f>
        <v>South</v>
      </c>
      <c r="D97" s="13" t="str">
        <f>'Raw Data'!D97</f>
        <v>Furniture</v>
      </c>
      <c r="E97" s="13" t="str">
        <f>'Raw Data'!E97</f>
        <v>Cabinet</v>
      </c>
      <c r="F97" s="13">
        <f>IF('Raw Data'!F97="",0,'Raw Data'!F97)</f>
        <v>2</v>
      </c>
      <c r="G97" s="23">
        <f>'Raw Data'!G97</f>
        <v>167.2</v>
      </c>
      <c r="H97" s="23">
        <f t="shared" si="4"/>
        <v>334.4</v>
      </c>
      <c r="I97" s="23">
        <f>'Raw Data'!I97</f>
        <v>266.57</v>
      </c>
      <c r="J97" s="23">
        <f t="shared" si="5"/>
        <v>67.829999999999984</v>
      </c>
      <c r="K97" s="13" t="str">
        <f>IF('Raw Data'!K97="","Unknown",'Raw Data'!K97)</f>
        <v>Asha</v>
      </c>
      <c r="L97" s="24" t="str">
        <f>'Raw Data'!L97</f>
        <v>Business</v>
      </c>
    </row>
    <row r="98" spans="1:12" x14ac:dyDescent="0.3">
      <c r="A98" s="21" t="str">
        <f>'Raw Data'!A98</f>
        <v>ORD0097</v>
      </c>
      <c r="B98" s="22">
        <f>'Raw Data'!B98</f>
        <v>45742</v>
      </c>
      <c r="C98" s="13" t="str">
        <f>'Raw Data'!C98</f>
        <v>North</v>
      </c>
      <c r="D98" s="13" t="str">
        <f>'Raw Data'!D98</f>
        <v>Electronics</v>
      </c>
      <c r="E98" s="13" t="str">
        <f>'Raw Data'!E98</f>
        <v>Headphones</v>
      </c>
      <c r="F98" s="13">
        <f>IF('Raw Data'!F98="",0,'Raw Data'!F98)</f>
        <v>15</v>
      </c>
      <c r="G98" s="23">
        <f>'Raw Data'!G98</f>
        <v>42.47</v>
      </c>
      <c r="H98" s="23">
        <f t="shared" ref="H98:H129" si="6">F98*G98</f>
        <v>637.04999999999995</v>
      </c>
      <c r="I98" s="23">
        <f>'Raw Data'!I98</f>
        <v>358.45</v>
      </c>
      <c r="J98" s="23">
        <f t="shared" ref="J98:J129" si="7">H98-I98</f>
        <v>278.59999999999997</v>
      </c>
      <c r="K98" s="13" t="str">
        <f>IF('Raw Data'!K98="","Unknown",'Raw Data'!K98)</f>
        <v>Neha</v>
      </c>
      <c r="L98" s="24" t="str">
        <f>'Raw Data'!L98</f>
        <v>Business</v>
      </c>
    </row>
    <row r="99" spans="1:12" x14ac:dyDescent="0.3">
      <c r="A99" s="21" t="str">
        <f>'Raw Data'!A99</f>
        <v>ORD0098</v>
      </c>
      <c r="B99" s="22">
        <f>'Raw Data'!B99</f>
        <v>45797</v>
      </c>
      <c r="C99" s="13" t="str">
        <f>'Raw Data'!C99</f>
        <v>West</v>
      </c>
      <c r="D99" s="13" t="str">
        <f>'Raw Data'!D99</f>
        <v>Office Supplies</v>
      </c>
      <c r="E99" s="13" t="str">
        <f>'Raw Data'!E99</f>
        <v>Printer Paper</v>
      </c>
      <c r="F99" s="13">
        <f>IF('Raw Data'!F99="",0,'Raw Data'!F99)</f>
        <v>8</v>
      </c>
      <c r="G99" s="23">
        <f>'Raw Data'!G99</f>
        <v>7.28</v>
      </c>
      <c r="H99" s="23">
        <f t="shared" si="6"/>
        <v>58.24</v>
      </c>
      <c r="I99" s="23">
        <f>'Raw Data'!I99</f>
        <v>42.32</v>
      </c>
      <c r="J99" s="23">
        <f t="shared" si="7"/>
        <v>15.920000000000002</v>
      </c>
      <c r="K99" s="13" t="str">
        <f>IF('Raw Data'!K99="","Unknown",'Raw Data'!K99)</f>
        <v>Jay</v>
      </c>
      <c r="L99" s="24" t="str">
        <f>'Raw Data'!L99</f>
        <v>Business</v>
      </c>
    </row>
    <row r="100" spans="1:12" x14ac:dyDescent="0.3">
      <c r="A100" s="21" t="str">
        <f>'Raw Data'!A100</f>
        <v>ORD0099</v>
      </c>
      <c r="B100" s="22">
        <f>'Raw Data'!B100</f>
        <v>45967</v>
      </c>
      <c r="C100" s="13" t="str">
        <f>'Raw Data'!C100</f>
        <v>East</v>
      </c>
      <c r="D100" s="13" t="str">
        <f>'Raw Data'!D100</f>
        <v>Furniture</v>
      </c>
      <c r="E100" s="13" t="str">
        <f>'Raw Data'!E100</f>
        <v>Cabinet</v>
      </c>
      <c r="F100" s="13">
        <f>IF('Raw Data'!F100="",0,'Raw Data'!F100)</f>
        <v>2</v>
      </c>
      <c r="G100" s="23">
        <f>'Raw Data'!G100</f>
        <v>163.76</v>
      </c>
      <c r="H100" s="23">
        <f t="shared" si="6"/>
        <v>327.52</v>
      </c>
      <c r="I100" s="23">
        <f>'Raw Data'!I100</f>
        <v>257.7</v>
      </c>
      <c r="J100" s="23">
        <f t="shared" si="7"/>
        <v>69.819999999999993</v>
      </c>
      <c r="K100" s="13" t="str">
        <f>IF('Raw Data'!K100="","Unknown",'Raw Data'!K100)</f>
        <v>Neha</v>
      </c>
      <c r="L100" s="24" t="str">
        <f>'Raw Data'!L100</f>
        <v>New</v>
      </c>
    </row>
    <row r="101" spans="1:12" x14ac:dyDescent="0.3">
      <c r="A101" s="21" t="str">
        <f>'Raw Data'!A101</f>
        <v>ORD0100</v>
      </c>
      <c r="B101" s="22">
        <f>'Raw Data'!B101</f>
        <v>46002</v>
      </c>
      <c r="C101" s="13" t="str">
        <f>'Raw Data'!C101</f>
        <v>North</v>
      </c>
      <c r="D101" s="13" t="str">
        <f>'Raw Data'!D101</f>
        <v>Electronics</v>
      </c>
      <c r="E101" s="13" t="str">
        <f>'Raw Data'!E101</f>
        <v>Headphones</v>
      </c>
      <c r="F101" s="13">
        <f>IF('Raw Data'!F101="",0,'Raw Data'!F101)</f>
        <v>11</v>
      </c>
      <c r="G101" s="23">
        <f>'Raw Data'!G101</f>
        <v>48.63</v>
      </c>
      <c r="H101" s="23">
        <f t="shared" si="6"/>
        <v>534.93000000000006</v>
      </c>
      <c r="I101" s="23">
        <f>'Raw Data'!I101</f>
        <v>370.47</v>
      </c>
      <c r="J101" s="23">
        <f t="shared" si="7"/>
        <v>164.46000000000004</v>
      </c>
      <c r="K101" s="13" t="str">
        <f>IF('Raw Data'!K101="","Unknown",'Raw Data'!K101)</f>
        <v>Neha</v>
      </c>
      <c r="L101" s="24" t="str">
        <f>'Raw Data'!L101</f>
        <v>Business</v>
      </c>
    </row>
    <row r="102" spans="1:12" x14ac:dyDescent="0.3">
      <c r="A102" s="21" t="str">
        <f>'Raw Data'!A102</f>
        <v>ORD0101</v>
      </c>
      <c r="B102" s="22">
        <f>'Raw Data'!B102</f>
        <v>45750</v>
      </c>
      <c r="C102" s="13" t="str">
        <f>'Raw Data'!C102</f>
        <v>East</v>
      </c>
      <c r="D102" s="13" t="str">
        <f>'Raw Data'!D102</f>
        <v>Electronics</v>
      </c>
      <c r="E102" s="13" t="str">
        <f>'Raw Data'!E102</f>
        <v>Headphones</v>
      </c>
      <c r="F102" s="13">
        <f>IF('Raw Data'!F102="",0,'Raw Data'!F102)</f>
        <v>8</v>
      </c>
      <c r="G102" s="23">
        <f>'Raw Data'!G102</f>
        <v>45.2</v>
      </c>
      <c r="H102" s="23">
        <f t="shared" si="6"/>
        <v>361.6</v>
      </c>
      <c r="I102" s="23">
        <f>'Raw Data'!I102</f>
        <v>236.01</v>
      </c>
      <c r="J102" s="23">
        <f t="shared" si="7"/>
        <v>125.59000000000003</v>
      </c>
      <c r="K102" s="13" t="str">
        <f>IF('Raw Data'!K102="","Unknown",'Raw Data'!K102)</f>
        <v>Jay</v>
      </c>
      <c r="L102" s="24" t="str">
        <f>'Raw Data'!L102</f>
        <v>Returning</v>
      </c>
    </row>
    <row r="103" spans="1:12" x14ac:dyDescent="0.3">
      <c r="A103" s="21" t="str">
        <f>'Raw Data'!A103</f>
        <v>ORD0102</v>
      </c>
      <c r="B103" s="22">
        <f>'Raw Data'!B103</f>
        <v>46001</v>
      </c>
      <c r="C103" s="13" t="str">
        <f>'Raw Data'!C103</f>
        <v>East</v>
      </c>
      <c r="D103" s="13" t="str">
        <f>'Raw Data'!D103</f>
        <v>Office Supplies</v>
      </c>
      <c r="E103" s="13" t="str">
        <f>'Raw Data'!E103</f>
        <v>Stapler</v>
      </c>
      <c r="F103" s="13">
        <f>IF('Raw Data'!F103="",0,'Raw Data'!F103)</f>
        <v>2</v>
      </c>
      <c r="G103" s="23">
        <f>'Raw Data'!G103</f>
        <v>9.93</v>
      </c>
      <c r="H103" s="23">
        <f t="shared" si="6"/>
        <v>19.86</v>
      </c>
      <c r="I103" s="23">
        <f>'Raw Data'!I103</f>
        <v>12.76</v>
      </c>
      <c r="J103" s="23">
        <f t="shared" si="7"/>
        <v>7.1</v>
      </c>
      <c r="K103" s="13" t="str">
        <f>IF('Raw Data'!K103="","Unknown",'Raw Data'!K103)</f>
        <v>Asha</v>
      </c>
      <c r="L103" s="24" t="str">
        <f>'Raw Data'!L103</f>
        <v>New</v>
      </c>
    </row>
    <row r="104" spans="1:12" x14ac:dyDescent="0.3">
      <c r="A104" s="21" t="str">
        <f>'Raw Data'!A104</f>
        <v>ORD0103</v>
      </c>
      <c r="B104" s="22">
        <f>'Raw Data'!B104</f>
        <v>45939</v>
      </c>
      <c r="C104" s="13" t="str">
        <f>'Raw Data'!C104</f>
        <v>West</v>
      </c>
      <c r="D104" s="13" t="str">
        <f>'Raw Data'!D104</f>
        <v>Furniture</v>
      </c>
      <c r="E104" s="13" t="str">
        <f>'Raw Data'!E104</f>
        <v>Cabinet</v>
      </c>
      <c r="F104" s="13">
        <f>IF('Raw Data'!F104="",0,'Raw Data'!F104)</f>
        <v>12</v>
      </c>
      <c r="G104" s="23">
        <f>'Raw Data'!G104</f>
        <v>159.83000000000001</v>
      </c>
      <c r="H104" s="23">
        <f t="shared" si="6"/>
        <v>1917.96</v>
      </c>
      <c r="I104" s="23">
        <f>'Raw Data'!I104</f>
        <v>1378.58</v>
      </c>
      <c r="J104" s="23">
        <f t="shared" si="7"/>
        <v>539.38000000000011</v>
      </c>
      <c r="K104" s="13" t="str">
        <f>IF('Raw Data'!K104="","Unknown",'Raw Data'!K104)</f>
        <v>Asha</v>
      </c>
      <c r="L104" s="24" t="str">
        <f>'Raw Data'!L104</f>
        <v>Returning</v>
      </c>
    </row>
    <row r="105" spans="1:12" x14ac:dyDescent="0.3">
      <c r="A105" s="21" t="str">
        <f>'Raw Data'!A105</f>
        <v>ORD0104</v>
      </c>
      <c r="B105" s="22">
        <f>'Raw Data'!B105</f>
        <v>45921</v>
      </c>
      <c r="C105" s="13" t="str">
        <f>'Raw Data'!C105</f>
        <v>West</v>
      </c>
      <c r="D105" s="13" t="str">
        <f>'Raw Data'!D105</f>
        <v>Electronics</v>
      </c>
      <c r="E105" s="13" t="str">
        <f>'Raw Data'!E105</f>
        <v>Monitor</v>
      </c>
      <c r="F105" s="13">
        <f>IF('Raw Data'!F105="",0,'Raw Data'!F105)</f>
        <v>5</v>
      </c>
      <c r="G105" s="23">
        <f>'Raw Data'!G105</f>
        <v>210.67</v>
      </c>
      <c r="H105" s="23">
        <f t="shared" si="6"/>
        <v>1053.3499999999999</v>
      </c>
      <c r="I105" s="23">
        <f>'Raw Data'!I105</f>
        <v>854.33</v>
      </c>
      <c r="J105" s="23">
        <f t="shared" si="7"/>
        <v>199.01999999999987</v>
      </c>
      <c r="K105" s="13" t="str">
        <f>IF('Raw Data'!K105="","Unknown",'Raw Data'!K105)</f>
        <v>Asha</v>
      </c>
      <c r="L105" s="24" t="str">
        <f>'Raw Data'!L105</f>
        <v>Business</v>
      </c>
    </row>
    <row r="106" spans="1:12" x14ac:dyDescent="0.3">
      <c r="A106" s="21" t="str">
        <f>'Raw Data'!A106</f>
        <v>ORD0105</v>
      </c>
      <c r="B106" s="22">
        <f>'Raw Data'!B106</f>
        <v>45978</v>
      </c>
      <c r="C106" s="13" t="str">
        <f>'Raw Data'!C106</f>
        <v>West</v>
      </c>
      <c r="D106" s="13" t="str">
        <f>'Raw Data'!D106</f>
        <v>Office Supplies</v>
      </c>
      <c r="E106" s="13" t="str">
        <f>'Raw Data'!E106</f>
        <v>Stapler</v>
      </c>
      <c r="F106" s="13">
        <f>IF('Raw Data'!F106="",0,'Raw Data'!F106)</f>
        <v>7</v>
      </c>
      <c r="G106" s="23">
        <f>'Raw Data'!G106</f>
        <v>8.93</v>
      </c>
      <c r="H106" s="23">
        <f t="shared" si="6"/>
        <v>62.51</v>
      </c>
      <c r="I106" s="23">
        <f>'Raw Data'!I106</f>
        <v>42.23</v>
      </c>
      <c r="J106" s="23">
        <f t="shared" si="7"/>
        <v>20.28</v>
      </c>
      <c r="K106" s="13" t="str">
        <f>IF('Raw Data'!K106="","Unknown",'Raw Data'!K106)</f>
        <v>Kiran</v>
      </c>
      <c r="L106" s="24" t="str">
        <f>'Raw Data'!L106</f>
        <v>New</v>
      </c>
    </row>
    <row r="107" spans="1:12" x14ac:dyDescent="0.3">
      <c r="A107" s="21" t="str">
        <f>'Raw Data'!A107</f>
        <v>ORD0106</v>
      </c>
      <c r="B107" s="22">
        <f>'Raw Data'!B107</f>
        <v>45720</v>
      </c>
      <c r="C107" s="13" t="str">
        <f>'Raw Data'!C107</f>
        <v>West</v>
      </c>
      <c r="D107" s="13" t="str">
        <f>'Raw Data'!D107</f>
        <v>Electronics</v>
      </c>
      <c r="E107" s="13" t="str">
        <f>'Raw Data'!E107</f>
        <v>Monitor</v>
      </c>
      <c r="F107" s="13">
        <f>IF('Raw Data'!F107="",0,'Raw Data'!F107)</f>
        <v>9</v>
      </c>
      <c r="G107" s="23">
        <f>'Raw Data'!G107</f>
        <v>200.52</v>
      </c>
      <c r="H107" s="23">
        <f t="shared" si="6"/>
        <v>1804.68</v>
      </c>
      <c r="I107" s="23">
        <f>'Raw Data'!I107</f>
        <v>1094.3699999999999</v>
      </c>
      <c r="J107" s="23">
        <f t="shared" si="7"/>
        <v>710.31000000000017</v>
      </c>
      <c r="K107" s="13" t="str">
        <f>IF('Raw Data'!K107="","Unknown",'Raw Data'!K107)</f>
        <v>Asha</v>
      </c>
      <c r="L107" s="24" t="str">
        <f>'Raw Data'!L107</f>
        <v>Business</v>
      </c>
    </row>
    <row r="108" spans="1:12" x14ac:dyDescent="0.3">
      <c r="A108" s="21" t="str">
        <f>'Raw Data'!A108</f>
        <v>ORD0107</v>
      </c>
      <c r="B108" s="22">
        <f>'Raw Data'!B108</f>
        <v>45705</v>
      </c>
      <c r="C108" s="13" t="str">
        <f>'Raw Data'!C108</f>
        <v>West</v>
      </c>
      <c r="D108" s="13" t="str">
        <f>'Raw Data'!D108</f>
        <v>Office Supplies</v>
      </c>
      <c r="E108" s="13" t="str">
        <f>'Raw Data'!E108</f>
        <v>Pen Set</v>
      </c>
      <c r="F108" s="13">
        <f>IF('Raw Data'!F108="",0,'Raw Data'!F108)</f>
        <v>12</v>
      </c>
      <c r="G108" s="23">
        <f>'Raw Data'!G108</f>
        <v>11.02</v>
      </c>
      <c r="H108" s="23">
        <f t="shared" si="6"/>
        <v>132.24</v>
      </c>
      <c r="I108" s="23">
        <f>'Raw Data'!I108</f>
        <v>90.62</v>
      </c>
      <c r="J108" s="23">
        <f t="shared" si="7"/>
        <v>41.620000000000005</v>
      </c>
      <c r="K108" s="13" t="str">
        <f>IF('Raw Data'!K108="","Unknown",'Raw Data'!K108)</f>
        <v>Ravi</v>
      </c>
      <c r="L108" s="24" t="str">
        <f>'Raw Data'!L108</f>
        <v>New</v>
      </c>
    </row>
    <row r="109" spans="1:12" x14ac:dyDescent="0.3">
      <c r="A109" s="21" t="str">
        <f>'Raw Data'!A109</f>
        <v>ORD0108</v>
      </c>
      <c r="B109" s="22">
        <f>'Raw Data'!B109</f>
        <v>45918</v>
      </c>
      <c r="C109" s="13" t="str">
        <f>'Raw Data'!C109</f>
        <v>East</v>
      </c>
      <c r="D109" s="13" t="str">
        <f>'Raw Data'!D109</f>
        <v>Furniture</v>
      </c>
      <c r="E109" s="13" t="str">
        <f>'Raw Data'!E109</f>
        <v>Desk</v>
      </c>
      <c r="F109" s="13">
        <f>IF('Raw Data'!F109="",0,'Raw Data'!F109)</f>
        <v>11</v>
      </c>
      <c r="G109" s="23">
        <f>'Raw Data'!G109</f>
        <v>194.35</v>
      </c>
      <c r="H109" s="23">
        <f t="shared" si="6"/>
        <v>2137.85</v>
      </c>
      <c r="I109" s="23">
        <f>'Raw Data'!I109</f>
        <v>1431.32</v>
      </c>
      <c r="J109" s="23">
        <f t="shared" si="7"/>
        <v>706.53</v>
      </c>
      <c r="K109" s="13" t="str">
        <f>IF('Raw Data'!K109="","Unknown",'Raw Data'!K109)</f>
        <v>Neha</v>
      </c>
      <c r="L109" s="24" t="str">
        <f>'Raw Data'!L109</f>
        <v>Returning</v>
      </c>
    </row>
    <row r="110" spans="1:12" x14ac:dyDescent="0.3">
      <c r="A110" s="21" t="str">
        <f>'Raw Data'!A110</f>
        <v>ORD0109</v>
      </c>
      <c r="B110" s="22">
        <f>'Raw Data'!B110</f>
        <v>45964</v>
      </c>
      <c r="C110" s="13" t="str">
        <f>'Raw Data'!C110</f>
        <v>South</v>
      </c>
      <c r="D110" s="13" t="str">
        <f>'Raw Data'!D110</f>
        <v>Furniture</v>
      </c>
      <c r="E110" s="13" t="str">
        <f>'Raw Data'!E110</f>
        <v>Cabinet</v>
      </c>
      <c r="F110" s="13">
        <f>IF('Raw Data'!F110="",0,'Raw Data'!F110)</f>
        <v>4</v>
      </c>
      <c r="G110" s="23">
        <f>'Raw Data'!G110</f>
        <v>158.34</v>
      </c>
      <c r="H110" s="23">
        <f t="shared" si="6"/>
        <v>633.36</v>
      </c>
      <c r="I110" s="23">
        <f>'Raw Data'!I110</f>
        <v>356.83</v>
      </c>
      <c r="J110" s="23">
        <f t="shared" si="7"/>
        <v>276.53000000000003</v>
      </c>
      <c r="K110" s="13" t="str">
        <f>IF('Raw Data'!K110="","Unknown",'Raw Data'!K110)</f>
        <v>Jay</v>
      </c>
      <c r="L110" s="24" t="str">
        <f>'Raw Data'!L110</f>
        <v>Business</v>
      </c>
    </row>
    <row r="111" spans="1:12" x14ac:dyDescent="0.3">
      <c r="A111" s="21" t="str">
        <f>'Raw Data'!A111</f>
        <v>ORD0110</v>
      </c>
      <c r="B111" s="22">
        <f>'Raw Data'!B111</f>
        <v>45917</v>
      </c>
      <c r="C111" s="13" t="str">
        <f>'Raw Data'!C111</f>
        <v>East</v>
      </c>
      <c r="D111" s="13" t="str">
        <f>'Raw Data'!D111</f>
        <v>Electronics</v>
      </c>
      <c r="E111" s="13" t="str">
        <f>'Raw Data'!E111</f>
        <v>Laptop</v>
      </c>
      <c r="F111" s="13">
        <f>IF('Raw Data'!F111="",0,'Raw Data'!F111)</f>
        <v>5</v>
      </c>
      <c r="G111" s="23">
        <f>'Raw Data'!G111</f>
        <v>692.54</v>
      </c>
      <c r="H111" s="23">
        <f t="shared" si="6"/>
        <v>3462.7</v>
      </c>
      <c r="I111" s="23">
        <f>'Raw Data'!I111</f>
        <v>2688.18</v>
      </c>
      <c r="J111" s="23">
        <f t="shared" si="7"/>
        <v>774.52</v>
      </c>
      <c r="K111" s="13" t="str">
        <f>IF('Raw Data'!K111="","Unknown",'Raw Data'!K111)</f>
        <v>Neha</v>
      </c>
      <c r="L111" s="24" t="str">
        <f>'Raw Data'!L111</f>
        <v>New</v>
      </c>
    </row>
    <row r="112" spans="1:12" x14ac:dyDescent="0.3">
      <c r="A112" s="21" t="str">
        <f>'Raw Data'!A112</f>
        <v>ORD0111</v>
      </c>
      <c r="B112" s="22">
        <f>'Raw Data'!B112</f>
        <v>45734</v>
      </c>
      <c r="C112" s="13" t="str">
        <f>'Raw Data'!C112</f>
        <v>West</v>
      </c>
      <c r="D112" s="13" t="str">
        <f>'Raw Data'!D112</f>
        <v>Furniture</v>
      </c>
      <c r="E112" s="13" t="str">
        <f>'Raw Data'!E112</f>
        <v>Bookshelf</v>
      </c>
      <c r="F112" s="13">
        <f>IF('Raw Data'!F112="",0,'Raw Data'!F112)</f>
        <v>14</v>
      </c>
      <c r="G112" s="23">
        <f>'Raw Data'!G112</f>
        <v>142.91999999999999</v>
      </c>
      <c r="H112" s="23">
        <f t="shared" si="6"/>
        <v>2000.8799999999999</v>
      </c>
      <c r="I112" s="23">
        <f>'Raw Data'!I112</f>
        <v>1640.06</v>
      </c>
      <c r="J112" s="23">
        <f t="shared" si="7"/>
        <v>360.81999999999994</v>
      </c>
      <c r="K112" s="13" t="str">
        <f>IF('Raw Data'!K112="","Unknown",'Raw Data'!K112)</f>
        <v>Kiran</v>
      </c>
      <c r="L112" s="24" t="str">
        <f>'Raw Data'!L112</f>
        <v>Business</v>
      </c>
    </row>
    <row r="113" spans="1:12" x14ac:dyDescent="0.3">
      <c r="A113" s="21" t="str">
        <f>'Raw Data'!A113</f>
        <v>ORD0112</v>
      </c>
      <c r="B113" s="22">
        <f>'Raw Data'!B113</f>
        <v>45822</v>
      </c>
      <c r="C113" s="13" t="str">
        <f>'Raw Data'!C113</f>
        <v>West</v>
      </c>
      <c r="D113" s="13" t="str">
        <f>'Raw Data'!D113</f>
        <v>Furniture</v>
      </c>
      <c r="E113" s="13" t="str">
        <f>'Raw Data'!E113</f>
        <v>Bookshelf</v>
      </c>
      <c r="F113" s="13">
        <f>IF('Raw Data'!F113="",0,'Raw Data'!F113)</f>
        <v>6</v>
      </c>
      <c r="G113" s="23">
        <f>'Raw Data'!G113</f>
        <v>141.74</v>
      </c>
      <c r="H113" s="23">
        <f t="shared" si="6"/>
        <v>850.44</v>
      </c>
      <c r="I113" s="23">
        <f>'Raw Data'!I113</f>
        <v>580.88</v>
      </c>
      <c r="J113" s="23">
        <f t="shared" si="7"/>
        <v>269.56000000000006</v>
      </c>
      <c r="K113" s="13" t="str">
        <f>IF('Raw Data'!K113="","Unknown",'Raw Data'!K113)</f>
        <v>Ravi</v>
      </c>
      <c r="L113" s="24" t="str">
        <f>'Raw Data'!L113</f>
        <v>Business</v>
      </c>
    </row>
    <row r="114" spans="1:12" x14ac:dyDescent="0.3">
      <c r="A114" s="21" t="str">
        <f>'Raw Data'!A114</f>
        <v>ORD0113</v>
      </c>
      <c r="B114" s="22">
        <f>'Raw Data'!B114</f>
        <v>45900</v>
      </c>
      <c r="C114" s="13" t="str">
        <f>'Raw Data'!C114</f>
        <v>East</v>
      </c>
      <c r="D114" s="13" t="str">
        <f>'Raw Data'!D114</f>
        <v>Electronics</v>
      </c>
      <c r="E114" s="13" t="str">
        <f>'Raw Data'!E114</f>
        <v>Keyboard</v>
      </c>
      <c r="F114" s="13">
        <f>IF('Raw Data'!F114="",0,'Raw Data'!F114)</f>
        <v>4</v>
      </c>
      <c r="G114" s="23">
        <f>'Raw Data'!G114</f>
        <v>37.99</v>
      </c>
      <c r="H114" s="23">
        <f t="shared" si="6"/>
        <v>151.96</v>
      </c>
      <c r="I114" s="23">
        <f>'Raw Data'!I114</f>
        <v>97.75</v>
      </c>
      <c r="J114" s="23">
        <f t="shared" si="7"/>
        <v>54.210000000000008</v>
      </c>
      <c r="K114" s="13" t="str">
        <f>IF('Raw Data'!K114="","Unknown",'Raw Data'!K114)</f>
        <v>Kiran</v>
      </c>
      <c r="L114" s="24" t="str">
        <f>'Raw Data'!L114</f>
        <v>Returning</v>
      </c>
    </row>
    <row r="115" spans="1:12" x14ac:dyDescent="0.3">
      <c r="A115" s="21" t="str">
        <f>'Raw Data'!A115</f>
        <v>ORD0114</v>
      </c>
      <c r="B115" s="22">
        <f>'Raw Data'!B115</f>
        <v>45709</v>
      </c>
      <c r="C115" s="13" t="str">
        <f>'Raw Data'!C115</f>
        <v>East</v>
      </c>
      <c r="D115" s="13" t="str">
        <f>'Raw Data'!D115</f>
        <v>Office Supplies</v>
      </c>
      <c r="E115" s="13" t="str">
        <f>'Raw Data'!E115</f>
        <v>Pen Set</v>
      </c>
      <c r="F115" s="13">
        <f>IF('Raw Data'!F115="",0,'Raw Data'!F115)</f>
        <v>8</v>
      </c>
      <c r="G115" s="23">
        <f>'Raw Data'!G115</f>
        <v>13.34</v>
      </c>
      <c r="H115" s="23">
        <f t="shared" si="6"/>
        <v>106.72</v>
      </c>
      <c r="I115" s="23">
        <f>'Raw Data'!I115</f>
        <v>59.54</v>
      </c>
      <c r="J115" s="23">
        <f t="shared" si="7"/>
        <v>47.18</v>
      </c>
      <c r="K115" s="13" t="str">
        <f>IF('Raw Data'!K115="","Unknown",'Raw Data'!K115)</f>
        <v>Kiran</v>
      </c>
      <c r="L115" s="24" t="str">
        <f>'Raw Data'!L115</f>
        <v>New</v>
      </c>
    </row>
    <row r="116" spans="1:12" x14ac:dyDescent="0.3">
      <c r="A116" s="21" t="str">
        <f>'Raw Data'!A116</f>
        <v>ORD0115</v>
      </c>
      <c r="B116" s="22">
        <f>'Raw Data'!B116</f>
        <v>45696</v>
      </c>
      <c r="C116" s="13" t="str">
        <f>'Raw Data'!C116</f>
        <v>South</v>
      </c>
      <c r="D116" s="13" t="str">
        <f>'Raw Data'!D116</f>
        <v>Office Supplies</v>
      </c>
      <c r="E116" s="13" t="str">
        <f>'Raw Data'!E116</f>
        <v>Stapler</v>
      </c>
      <c r="F116" s="13">
        <f>IF('Raw Data'!F116="",0,'Raw Data'!F116)</f>
        <v>1</v>
      </c>
      <c r="G116" s="23">
        <f>'Raw Data'!G116</f>
        <v>10.53</v>
      </c>
      <c r="H116" s="23">
        <f t="shared" si="6"/>
        <v>10.53</v>
      </c>
      <c r="I116" s="23">
        <f>'Raw Data'!I116</f>
        <v>6.77</v>
      </c>
      <c r="J116" s="23">
        <f t="shared" si="7"/>
        <v>3.76</v>
      </c>
      <c r="K116" s="13" t="str">
        <f>IF('Raw Data'!K116="","Unknown",'Raw Data'!K116)</f>
        <v>Kiran</v>
      </c>
      <c r="L116" s="24" t="str">
        <f>'Raw Data'!L116</f>
        <v>Returning</v>
      </c>
    </row>
    <row r="117" spans="1:12" x14ac:dyDescent="0.3">
      <c r="A117" s="21" t="str">
        <f>'Raw Data'!A117</f>
        <v>ORD0116</v>
      </c>
      <c r="B117" s="22">
        <f>'Raw Data'!B117</f>
        <v>45820</v>
      </c>
      <c r="C117" s="13" t="str">
        <f>'Raw Data'!C117</f>
        <v>West</v>
      </c>
      <c r="D117" s="13" t="str">
        <f>'Raw Data'!D117</f>
        <v>Furniture</v>
      </c>
      <c r="E117" s="13" t="str">
        <f>'Raw Data'!E117</f>
        <v>Cabinet</v>
      </c>
      <c r="F117" s="13">
        <f>IF('Raw Data'!F117="",0,'Raw Data'!F117)</f>
        <v>11</v>
      </c>
      <c r="G117" s="23">
        <f>'Raw Data'!G117</f>
        <v>143.88</v>
      </c>
      <c r="H117" s="23">
        <f t="shared" si="6"/>
        <v>1582.6799999999998</v>
      </c>
      <c r="I117" s="23">
        <f>'Raw Data'!I117</f>
        <v>979</v>
      </c>
      <c r="J117" s="23">
        <f t="shared" si="7"/>
        <v>603.67999999999984</v>
      </c>
      <c r="K117" s="13" t="str">
        <f>IF('Raw Data'!K117="","Unknown",'Raw Data'!K117)</f>
        <v>Kiran</v>
      </c>
      <c r="L117" s="24" t="str">
        <f>'Raw Data'!L117</f>
        <v>Business</v>
      </c>
    </row>
    <row r="118" spans="1:12" x14ac:dyDescent="0.3">
      <c r="A118" s="21" t="str">
        <f>'Raw Data'!A118</f>
        <v>ORD0117</v>
      </c>
      <c r="B118" s="22">
        <f>'Raw Data'!B118</f>
        <v>45704</v>
      </c>
      <c r="C118" s="13" t="str">
        <f>'Raw Data'!C118</f>
        <v>South</v>
      </c>
      <c r="D118" s="13" t="str">
        <f>'Raw Data'!D118</f>
        <v>Electronics</v>
      </c>
      <c r="E118" s="13" t="str">
        <f>'Raw Data'!E118</f>
        <v>Laptop</v>
      </c>
      <c r="F118" s="13">
        <f>IF('Raw Data'!F118="",0,'Raw Data'!F118)</f>
        <v>4</v>
      </c>
      <c r="G118" s="23">
        <f>'Raw Data'!G118</f>
        <v>670.46</v>
      </c>
      <c r="H118" s="23">
        <f t="shared" si="6"/>
        <v>2681.84</v>
      </c>
      <c r="I118" s="23">
        <f>'Raw Data'!I118</f>
        <v>2135.4899999999998</v>
      </c>
      <c r="J118" s="23">
        <f t="shared" si="7"/>
        <v>546.35000000000036</v>
      </c>
      <c r="K118" s="13" t="str">
        <f>IF('Raw Data'!K118="","Unknown",'Raw Data'!K118)</f>
        <v>Kiran</v>
      </c>
      <c r="L118" s="24" t="str">
        <f>'Raw Data'!L118</f>
        <v>New</v>
      </c>
    </row>
    <row r="119" spans="1:12" x14ac:dyDescent="0.3">
      <c r="A119" s="21" t="str">
        <f>'Raw Data'!A119</f>
        <v>ORD0118</v>
      </c>
      <c r="B119" s="22">
        <f>'Raw Data'!B119</f>
        <v>45681</v>
      </c>
      <c r="C119" s="13" t="str">
        <f>'Raw Data'!C119</f>
        <v>North</v>
      </c>
      <c r="D119" s="13" t="str">
        <f>'Raw Data'!D119</f>
        <v>Office Supplies</v>
      </c>
      <c r="E119" s="13" t="str">
        <f>'Raw Data'!E119</f>
        <v>Notebook</v>
      </c>
      <c r="F119" s="13">
        <f>IF('Raw Data'!F119="",0,'Raw Data'!F119)</f>
        <v>8</v>
      </c>
      <c r="G119" s="23">
        <f>'Raw Data'!G119</f>
        <v>4.5999999999999996</v>
      </c>
      <c r="H119" s="23">
        <f t="shared" si="6"/>
        <v>36.799999999999997</v>
      </c>
      <c r="I119" s="23">
        <f>'Raw Data'!I119</f>
        <v>22.44</v>
      </c>
      <c r="J119" s="23">
        <f t="shared" si="7"/>
        <v>14.359999999999996</v>
      </c>
      <c r="K119" s="13" t="str">
        <f>IF('Raw Data'!K119="","Unknown",'Raw Data'!K119)</f>
        <v>Neha</v>
      </c>
      <c r="L119" s="24" t="str">
        <f>'Raw Data'!L119</f>
        <v>New</v>
      </c>
    </row>
    <row r="120" spans="1:12" x14ac:dyDescent="0.3">
      <c r="A120" s="21" t="str">
        <f>'Raw Data'!A120</f>
        <v>ORD0119</v>
      </c>
      <c r="B120" s="22">
        <f>'Raw Data'!B120</f>
        <v>45947</v>
      </c>
      <c r="C120" s="13" t="str">
        <f>'Raw Data'!C120</f>
        <v>West</v>
      </c>
      <c r="D120" s="13" t="str">
        <f>'Raw Data'!D120</f>
        <v>Furniture</v>
      </c>
      <c r="E120" s="13" t="str">
        <f>'Raw Data'!E120</f>
        <v>Bookshelf</v>
      </c>
      <c r="F120" s="13">
        <f>IF('Raw Data'!F120="",0,'Raw Data'!F120)</f>
        <v>6</v>
      </c>
      <c r="G120" s="23">
        <f>'Raw Data'!G120</f>
        <v>137.66999999999999</v>
      </c>
      <c r="H120" s="23">
        <f t="shared" si="6"/>
        <v>826.02</v>
      </c>
      <c r="I120" s="23">
        <f>'Raw Data'!I120</f>
        <v>490.04</v>
      </c>
      <c r="J120" s="23">
        <f t="shared" si="7"/>
        <v>335.97999999999996</v>
      </c>
      <c r="K120" s="13" t="str">
        <f>IF('Raw Data'!K120="","Unknown",'Raw Data'!K120)</f>
        <v>Ravi</v>
      </c>
      <c r="L120" s="24" t="str">
        <f>'Raw Data'!L120</f>
        <v>New</v>
      </c>
    </row>
    <row r="121" spans="1:12" x14ac:dyDescent="0.3">
      <c r="A121" s="25" t="str">
        <f>'Raw Data'!A121</f>
        <v>ORD0120</v>
      </c>
      <c r="B121" s="26">
        <f>'Raw Data'!B121</f>
        <v>45912</v>
      </c>
      <c r="C121" s="27" t="str">
        <f>'Raw Data'!C121</f>
        <v>South</v>
      </c>
      <c r="D121" s="27" t="str">
        <f>'Raw Data'!D121</f>
        <v>Electronics</v>
      </c>
      <c r="E121" s="27" t="str">
        <f>'Raw Data'!E121</f>
        <v>Laptop</v>
      </c>
      <c r="F121" s="27">
        <f>IF('Raw Data'!F121="",0,'Raw Data'!F121)</f>
        <v>10</v>
      </c>
      <c r="G121" s="28">
        <f>'Raw Data'!G121</f>
        <v>707.85</v>
      </c>
      <c r="H121" s="28">
        <f t="shared" si="6"/>
        <v>7078.5</v>
      </c>
      <c r="I121" s="28">
        <f>'Raw Data'!I121</f>
        <v>4996.8100000000004</v>
      </c>
      <c r="J121" s="28">
        <f t="shared" si="7"/>
        <v>2081.6899999999996</v>
      </c>
      <c r="K121" s="27" t="str">
        <f>IF('Raw Data'!K121="","Unknown",'Raw Data'!K121)</f>
        <v>Jay</v>
      </c>
      <c r="L121" s="29" t="str">
        <f>'Raw Data'!L121</f>
        <v>New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4"/>
  <sheetViews>
    <sheetView showGridLines="0" workbookViewId="0">
      <selection activeCell="F4" sqref="F4:H7"/>
    </sheetView>
  </sheetViews>
  <sheetFormatPr defaultRowHeight="14.4" x14ac:dyDescent="0.3"/>
  <cols>
    <col min="1" max="8" width="20" customWidth="1"/>
  </cols>
  <sheetData>
    <row r="1" spans="1:8" ht="28.05" customHeight="1" x14ac:dyDescent="0.4">
      <c r="A1" s="3" t="s">
        <v>199</v>
      </c>
      <c r="B1" s="4"/>
      <c r="C1" s="4"/>
      <c r="D1" s="4"/>
      <c r="E1" s="4"/>
      <c r="F1" s="4"/>
      <c r="G1" s="4"/>
      <c r="H1" s="4"/>
    </row>
    <row r="3" spans="1:8" ht="15.6" x14ac:dyDescent="0.3">
      <c r="A3" s="1" t="s">
        <v>200</v>
      </c>
      <c r="F3" s="1" t="s">
        <v>201</v>
      </c>
    </row>
    <row r="4" spans="1:8" x14ac:dyDescent="0.3">
      <c r="A4" s="9" t="s">
        <v>42</v>
      </c>
      <c r="B4" s="9" t="s">
        <v>202</v>
      </c>
      <c r="C4" s="9" t="s">
        <v>203</v>
      </c>
      <c r="D4" s="9" t="s">
        <v>204</v>
      </c>
      <c r="F4" s="9" t="s">
        <v>43</v>
      </c>
      <c r="G4" s="9" t="s">
        <v>202</v>
      </c>
      <c r="H4" s="9" t="s">
        <v>203</v>
      </c>
    </row>
    <row r="5" spans="1:8" x14ac:dyDescent="0.3">
      <c r="A5" s="13" t="s">
        <v>59</v>
      </c>
      <c r="B5" s="23">
        <f>SUMIF('Clean Data'!$C$2:$C$121,A5,'Clean Data'!$H$2:$H$121)</f>
        <v>32981.26</v>
      </c>
      <c r="C5" s="23">
        <f>SUMIF('Clean Data'!$C$2:$C$121,A5,'Clean Data'!$J$2:$J$121)</f>
        <v>10259.400000000001</v>
      </c>
      <c r="D5" s="13">
        <f>COUNTIF('Clean Data'!$C$2:$C$121,A5)</f>
        <v>27</v>
      </c>
      <c r="F5" s="13" t="s">
        <v>74</v>
      </c>
      <c r="G5" s="23">
        <f>SUMIF('Clean Data'!$D$2:$D$121,F5,'Clean Data'!$H$2:$H$121)</f>
        <v>84037.89</v>
      </c>
      <c r="H5" s="23">
        <f>SUMIF('Clean Data'!$D$2:$D$121,F5,'Clean Data'!$J$2:$J$121)</f>
        <v>27714.430000000004</v>
      </c>
    </row>
    <row r="6" spans="1:8" x14ac:dyDescent="0.3">
      <c r="A6" s="13" t="s">
        <v>53</v>
      </c>
      <c r="B6" s="23">
        <f>SUMIF('Clean Data'!$C$2:$C$121,A6,'Clean Data'!$H$2:$H$121)</f>
        <v>44165.540000000008</v>
      </c>
      <c r="C6" s="23">
        <f>SUMIF('Clean Data'!$C$2:$C$121,A6,'Clean Data'!$J$2:$J$121)</f>
        <v>15047.120000000003</v>
      </c>
      <c r="D6" s="13">
        <f>COUNTIF('Clean Data'!$C$2:$C$121,A6)</f>
        <v>38</v>
      </c>
      <c r="F6" s="13" t="s">
        <v>67</v>
      </c>
      <c r="G6" s="23">
        <f>SUMIF('Clean Data'!$D$2:$D$121,F6,'Clean Data'!$H$2:$H$121)</f>
        <v>40857.300000000003</v>
      </c>
      <c r="H6" s="23">
        <f>SUMIF('Clean Data'!$D$2:$D$121,F6,'Clean Data'!$J$2:$J$121)</f>
        <v>13160.06</v>
      </c>
    </row>
    <row r="7" spans="1:8" x14ac:dyDescent="0.3">
      <c r="A7" s="13" t="s">
        <v>88</v>
      </c>
      <c r="B7" s="23">
        <f>SUMIF('Clean Data'!$C$2:$C$121,A7,'Clean Data'!$H$2:$H$121)</f>
        <v>20943.759999999998</v>
      </c>
      <c r="C7" s="23">
        <f>SUMIF('Clean Data'!$C$2:$C$121,A7,'Clean Data'!$J$2:$J$121)</f>
        <v>7399.1799999999994</v>
      </c>
      <c r="D7" s="13">
        <f>COUNTIF('Clean Data'!$C$2:$C$121,A7)</f>
        <v>30</v>
      </c>
      <c r="F7" s="13" t="s">
        <v>54</v>
      </c>
      <c r="G7" s="23">
        <f>SUMIF('Clean Data'!$D$2:$D$121,F7,'Clean Data'!$H$2:$H$121)</f>
        <v>2731.6600000000008</v>
      </c>
      <c r="H7" s="23">
        <f>SUMIF('Clean Data'!$D$2:$D$121,F7,'Clean Data'!$J$2:$J$121)</f>
        <v>856.91</v>
      </c>
    </row>
    <row r="8" spans="1:8" x14ac:dyDescent="0.3">
      <c r="A8" s="13" t="s">
        <v>85</v>
      </c>
      <c r="B8" s="23">
        <f>SUMIF('Clean Data'!$C$2:$C$121,A8,'Clean Data'!$H$2:$H$121)</f>
        <v>29536.290000000005</v>
      </c>
      <c r="C8" s="23">
        <f>SUMIF('Clean Data'!$C$2:$C$121,A8,'Clean Data'!$J$2:$J$121)</f>
        <v>9025.6999999999989</v>
      </c>
      <c r="D8" s="13">
        <f>COUNTIF('Clean Data'!$C$2:$C$121,A8)</f>
        <v>25</v>
      </c>
      <c r="G8" s="2"/>
      <c r="H8" s="2"/>
    </row>
    <row r="11" spans="1:8" ht="15.6" x14ac:dyDescent="0.3">
      <c r="A11" s="1" t="s">
        <v>205</v>
      </c>
    </row>
    <row r="12" spans="1:8" x14ac:dyDescent="0.3">
      <c r="A12" s="9" t="s">
        <v>206</v>
      </c>
      <c r="B12" s="9" t="s">
        <v>47</v>
      </c>
      <c r="C12" s="9" t="s">
        <v>49</v>
      </c>
    </row>
    <row r="13" spans="1:8" x14ac:dyDescent="0.3">
      <c r="A13" s="30">
        <v>45658</v>
      </c>
      <c r="B13" s="23">
        <f>SUMIFS('Clean Data'!$H$2:$H$121,'Clean Data'!$B$2:$B$121,"&gt;="&amp;A13,'Clean Data'!$B$2:$B$121,"&lt;"&amp;EDATE(A13,1))</f>
        <v>7969.55</v>
      </c>
      <c r="C13" s="23">
        <f>SUMIFS('Clean Data'!$J$2:$J$121,'Clean Data'!$B$2:$B$121,"&gt;="&amp;A13,'Clean Data'!$B$2:$B$121,"&lt;"&amp;EDATE(A13,1))</f>
        <v>3576.29</v>
      </c>
    </row>
    <row r="14" spans="1:8" x14ac:dyDescent="0.3">
      <c r="A14" s="30">
        <v>45689</v>
      </c>
      <c r="B14" s="23">
        <f>SUMIFS('Clean Data'!$H$2:$H$121,'Clean Data'!$B$2:$B$121,"&gt;="&amp;A14,'Clean Data'!$B$2:$B$121,"&lt;"&amp;EDATE(A14,1))</f>
        <v>7052.56</v>
      </c>
      <c r="C14" s="23">
        <f>SUMIFS('Clean Data'!$J$2:$J$121,'Clean Data'!$B$2:$B$121,"&gt;="&amp;A14,'Clean Data'!$B$2:$B$121,"&lt;"&amp;EDATE(A14,1))</f>
        <v>2085.1500000000005</v>
      </c>
    </row>
    <row r="15" spans="1:8" x14ac:dyDescent="0.3">
      <c r="A15" s="30">
        <v>45717</v>
      </c>
      <c r="B15" s="23">
        <f>SUMIFS('Clean Data'!$H$2:$H$121,'Clean Data'!$B$2:$B$121,"&gt;="&amp;A15,'Clean Data'!$B$2:$B$121,"&lt;"&amp;EDATE(A15,1))</f>
        <v>17832.54</v>
      </c>
      <c r="C15" s="23">
        <f>SUMIFS('Clean Data'!$J$2:$J$121,'Clean Data'!$B$2:$B$121,"&gt;="&amp;A15,'Clean Data'!$B$2:$B$121,"&lt;"&amp;EDATE(A15,1))</f>
        <v>5418.96</v>
      </c>
    </row>
    <row r="16" spans="1:8" x14ac:dyDescent="0.3">
      <c r="A16" s="30">
        <v>45748</v>
      </c>
      <c r="B16" s="23">
        <f>SUMIFS('Clean Data'!$H$2:$H$121,'Clean Data'!$B$2:$B$121,"&gt;="&amp;A16,'Clean Data'!$B$2:$B$121,"&lt;"&amp;EDATE(A16,1))</f>
        <v>718.97</v>
      </c>
      <c r="C16" s="23">
        <f>SUMIFS('Clean Data'!$J$2:$J$121,'Clean Data'!$B$2:$B$121,"&gt;="&amp;A16,'Clean Data'!$B$2:$B$121,"&lt;"&amp;EDATE(A16,1))</f>
        <v>250.98000000000008</v>
      </c>
    </row>
    <row r="17" spans="1:3" x14ac:dyDescent="0.3">
      <c r="A17" s="30">
        <v>45778</v>
      </c>
      <c r="B17" s="23">
        <f>SUMIFS('Clean Data'!$H$2:$H$121,'Clean Data'!$B$2:$B$121,"&gt;="&amp;A17,'Clean Data'!$B$2:$B$121,"&lt;"&amp;EDATE(A17,1))</f>
        <v>17501.330000000002</v>
      </c>
      <c r="C17" s="23">
        <f>SUMIFS('Clean Data'!$J$2:$J$121,'Clean Data'!$B$2:$B$121,"&gt;="&amp;A17,'Clean Data'!$B$2:$B$121,"&lt;"&amp;EDATE(A17,1))</f>
        <v>5110.5700000000006</v>
      </c>
    </row>
    <row r="18" spans="1:3" x14ac:dyDescent="0.3">
      <c r="A18" s="30">
        <v>45809</v>
      </c>
      <c r="B18" s="23">
        <f>SUMIFS('Clean Data'!$H$2:$H$121,'Clean Data'!$B$2:$B$121,"&gt;="&amp;A18,'Clean Data'!$B$2:$B$121,"&lt;"&amp;EDATE(A18,1))</f>
        <v>9697.06</v>
      </c>
      <c r="C18" s="23">
        <f>SUMIFS('Clean Data'!$J$2:$J$121,'Clean Data'!$B$2:$B$121,"&gt;="&amp;A18,'Clean Data'!$B$2:$B$121,"&lt;"&amp;EDATE(A18,1))</f>
        <v>3751.09</v>
      </c>
    </row>
    <row r="19" spans="1:3" x14ac:dyDescent="0.3">
      <c r="A19" s="30">
        <v>45839</v>
      </c>
      <c r="B19" s="23">
        <f>SUMIFS('Clean Data'!$H$2:$H$121,'Clean Data'!$B$2:$B$121,"&gt;="&amp;A19,'Clean Data'!$B$2:$B$121,"&lt;"&amp;EDATE(A19,1))</f>
        <v>10990.939999999999</v>
      </c>
      <c r="C19" s="23">
        <f>SUMIFS('Clean Data'!$J$2:$J$121,'Clean Data'!$B$2:$B$121,"&gt;="&amp;A19,'Clean Data'!$B$2:$B$121,"&lt;"&amp;EDATE(A19,1))</f>
        <v>3457.2899999999995</v>
      </c>
    </row>
    <row r="20" spans="1:3" x14ac:dyDescent="0.3">
      <c r="A20" s="30">
        <v>45870</v>
      </c>
      <c r="B20" s="23">
        <f>SUMIFS('Clean Data'!$H$2:$H$121,'Clean Data'!$B$2:$B$121,"&gt;="&amp;A20,'Clean Data'!$B$2:$B$121,"&lt;"&amp;EDATE(A20,1))</f>
        <v>6177.73</v>
      </c>
      <c r="C20" s="23">
        <f>SUMIFS('Clean Data'!$J$2:$J$121,'Clean Data'!$B$2:$B$121,"&gt;="&amp;A20,'Clean Data'!$B$2:$B$121,"&lt;"&amp;EDATE(A20,1))</f>
        <v>1981.9199999999998</v>
      </c>
    </row>
    <row r="21" spans="1:3" x14ac:dyDescent="0.3">
      <c r="A21" s="30">
        <v>45901</v>
      </c>
      <c r="B21" s="23">
        <f>SUMIFS('Clean Data'!$H$2:$H$121,'Clean Data'!$B$2:$B$121,"&gt;="&amp;A21,'Clean Data'!$B$2:$B$121,"&lt;"&amp;EDATE(A21,1))</f>
        <v>17785.22</v>
      </c>
      <c r="C21" s="23">
        <f>SUMIFS('Clean Data'!$J$2:$J$121,'Clean Data'!$B$2:$B$121,"&gt;="&amp;A21,'Clean Data'!$B$2:$B$121,"&lt;"&amp;EDATE(A21,1))</f>
        <v>5235.84</v>
      </c>
    </row>
    <row r="22" spans="1:3" x14ac:dyDescent="0.3">
      <c r="A22" s="30">
        <v>45931</v>
      </c>
      <c r="B22" s="23">
        <f>SUMIFS('Clean Data'!$H$2:$H$121,'Clean Data'!$B$2:$B$121,"&gt;="&amp;A22,'Clean Data'!$B$2:$B$121,"&lt;"&amp;EDATE(A22,1))</f>
        <v>18951.100000000002</v>
      </c>
      <c r="C22" s="23">
        <f>SUMIFS('Clean Data'!$J$2:$J$121,'Clean Data'!$B$2:$B$121,"&gt;="&amp;A22,'Clean Data'!$B$2:$B$121,"&lt;"&amp;EDATE(A22,1))</f>
        <v>6491.8000000000011</v>
      </c>
    </row>
    <row r="23" spans="1:3" x14ac:dyDescent="0.3">
      <c r="A23" s="30">
        <v>45962</v>
      </c>
      <c r="B23" s="23">
        <f>SUMIFS('Clean Data'!$H$2:$H$121,'Clean Data'!$B$2:$B$121,"&gt;="&amp;A23,'Clean Data'!$B$2:$B$121,"&lt;"&amp;EDATE(A23,1))</f>
        <v>5204.4900000000007</v>
      </c>
      <c r="C23" s="23">
        <f>SUMIFS('Clean Data'!$J$2:$J$121,'Clean Data'!$B$2:$B$121,"&gt;="&amp;A23,'Clean Data'!$B$2:$B$121,"&lt;"&amp;EDATE(A23,1))</f>
        <v>1960.1699999999998</v>
      </c>
    </row>
    <row r="24" spans="1:3" x14ac:dyDescent="0.3">
      <c r="A24" s="30">
        <v>45992</v>
      </c>
      <c r="B24" s="23">
        <f>SUMIFS('Clean Data'!$H$2:$H$121,'Clean Data'!$B$2:$B$121,"&gt;="&amp;A24,'Clean Data'!$B$2:$B$121,"&lt;"&amp;EDATE(A24,1))</f>
        <v>7745.36</v>
      </c>
      <c r="C24" s="23">
        <f>SUMIFS('Clean Data'!$J$2:$J$121,'Clean Data'!$B$2:$B$121,"&gt;="&amp;A24,'Clean Data'!$B$2:$B$121,"&lt;"&amp;EDATE(A24,1))</f>
        <v>2411.34</v>
      </c>
    </row>
  </sheetData>
  <mergeCells count="1">
    <mergeCell ref="A1:H1"/>
  </mergeCells>
  <conditionalFormatting sqref="B5:B8">
    <cfRule type="dataBar" priority="1">
      <dataBar>
        <cfvo type="num" val="0"/>
        <cfvo type="max"/>
        <color rgb="FF5B9BD5"/>
      </dataBar>
    </cfRule>
  </conditionalFormatting>
  <conditionalFormatting sqref="G5:G7">
    <cfRule type="dataBar" priority="2">
      <dataBar>
        <cfvo type="num" val="0"/>
        <cfvo type="max"/>
        <color rgb="FF70AD47"/>
      </dataBar>
    </cfRule>
  </conditionalFormatting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8"/>
  <sheetViews>
    <sheetView showGridLines="0" workbookViewId="0">
      <pane ySplit="2" topLeftCell="A3" activePane="bottomLeft" state="frozen"/>
      <selection pane="bottomLeft" activeCell="I6" sqref="I6"/>
    </sheetView>
  </sheetViews>
  <sheetFormatPr defaultRowHeight="14.4" x14ac:dyDescent="0.3"/>
  <cols>
    <col min="1" max="10" width="16" customWidth="1"/>
  </cols>
  <sheetData>
    <row r="1" spans="1:10" ht="28.05" customHeight="1" x14ac:dyDescent="0.4">
      <c r="A1" s="3" t="s">
        <v>207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3">
      <c r="A3" s="31" t="s">
        <v>208</v>
      </c>
      <c r="B3" s="13" t="s">
        <v>209</v>
      </c>
      <c r="C3" s="12"/>
      <c r="D3" s="32" t="s">
        <v>210</v>
      </c>
      <c r="E3" s="13" t="s">
        <v>209</v>
      </c>
    </row>
    <row r="4" spans="1:10" x14ac:dyDescent="0.3">
      <c r="A4" s="8" t="s">
        <v>211</v>
      </c>
      <c r="B4" s="4"/>
      <c r="C4" s="4"/>
      <c r="D4" s="4"/>
      <c r="E4" s="4"/>
      <c r="F4" s="4"/>
      <c r="G4" s="4"/>
      <c r="H4" s="4"/>
      <c r="I4" s="4"/>
      <c r="J4" s="4"/>
    </row>
    <row r="6" spans="1:10" x14ac:dyDescent="0.3">
      <c r="A6" s="5" t="s">
        <v>202</v>
      </c>
      <c r="B6" s="4"/>
      <c r="D6" s="5" t="s">
        <v>203</v>
      </c>
      <c r="E6" s="4"/>
      <c r="G6" s="5" t="s">
        <v>212</v>
      </c>
      <c r="H6" s="4"/>
    </row>
    <row r="7" spans="1:10" ht="28.05" customHeight="1" x14ac:dyDescent="0.3">
      <c r="A7" s="7">
        <f>SUMPRODUCT((IF($B$3="All",1,'Clean Data'!$C$2:$C$121=$B$3))*(IF($E$3="All",1,'Clean Data'!$D$2:$D$121=$E$3))*'Clean Data'!$H$2:$H$121)</f>
        <v>127626.85000000002</v>
      </c>
      <c r="B7" s="4"/>
      <c r="D7" s="7">
        <f>SUMPRODUCT((IF($B$3="All",1,'Clean Data'!$C$2:$C$121=$B$3))*(IF($E$3="All",1,'Clean Data'!$D$2:$D$121=$E$3))*'Clean Data'!$J$2:$J$121)</f>
        <v>41731.399999999994</v>
      </c>
      <c r="E7" s="4"/>
      <c r="G7" s="6">
        <f>SUMPRODUCT((IF($B$3="All",1,'Clean Data'!$C$2:$C$121=$B$3))*(IF($E$3="All",1,'Clean Data'!$D$2:$D$121=$E$3))*'Clean Data'!$F$2:$F$121)</f>
        <v>920</v>
      </c>
      <c r="H7" s="4"/>
    </row>
    <row r="8" spans="1:10" ht="18" customHeight="1" x14ac:dyDescent="0.3">
      <c r="A8" s="4"/>
      <c r="B8" s="4"/>
      <c r="D8" s="4"/>
      <c r="E8" s="4"/>
      <c r="G8" s="4"/>
      <c r="H8" s="4"/>
    </row>
  </sheetData>
  <mergeCells count="8">
    <mergeCell ref="D6:E6"/>
    <mergeCell ref="A1:J1"/>
    <mergeCell ref="G7:H8"/>
    <mergeCell ref="D7:E8"/>
    <mergeCell ref="A7:B8"/>
    <mergeCell ref="A4:J4"/>
    <mergeCell ref="G6:H6"/>
    <mergeCell ref="A6:B6"/>
  </mergeCells>
  <dataValidations count="2">
    <dataValidation type="list" sqref="B3" xr:uid="{00000000-0002-0000-0500-000000000000}">
      <formula1>"All,North,South,East,West"</formula1>
    </dataValidation>
    <dataValidation type="list" sqref="E3" xr:uid="{00000000-0002-0000-0500-000001000000}">
      <formula1>"All,Electronics,Furniture,Office Supplies"</formula1>
    </dataValidation>
  </dataValidations>
  <pageMargins left="0.75" right="0.75" top="1" bottom="1" header="0.5" footer="0.5"/>
  <pageSetup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0"/>
  <sheetViews>
    <sheetView showGridLines="0" workbookViewId="0">
      <pane ySplit="3" topLeftCell="A4" activePane="bottomLeft" state="frozen"/>
      <selection pane="bottomLeft" activeCell="B19" sqref="B19"/>
    </sheetView>
  </sheetViews>
  <sheetFormatPr defaultRowHeight="14.4" x14ac:dyDescent="0.3"/>
  <cols>
    <col min="1" max="1" width="24" customWidth="1"/>
    <col min="2" max="2" width="55" customWidth="1"/>
    <col min="3" max="3" width="42" customWidth="1"/>
    <col min="4" max="4" width="70" customWidth="1"/>
  </cols>
  <sheetData>
    <row r="1" spans="1:4" ht="28.05" customHeight="1" x14ac:dyDescent="0.4">
      <c r="A1" s="3" t="s">
        <v>213</v>
      </c>
      <c r="B1" s="4"/>
      <c r="C1" s="4"/>
      <c r="D1" s="4"/>
    </row>
    <row r="3" spans="1:4" x14ac:dyDescent="0.3">
      <c r="A3" s="9" t="s">
        <v>214</v>
      </c>
      <c r="B3" s="9" t="s">
        <v>215</v>
      </c>
      <c r="C3" s="9" t="s">
        <v>216</v>
      </c>
      <c r="D3" s="9" t="s">
        <v>217</v>
      </c>
    </row>
    <row r="4" spans="1:4" x14ac:dyDescent="0.3">
      <c r="A4" s="13" t="s">
        <v>218</v>
      </c>
      <c r="B4" s="13" t="s">
        <v>219</v>
      </c>
      <c r="C4" s="13" t="s">
        <v>220</v>
      </c>
      <c r="D4" s="13" t="s">
        <v>221</v>
      </c>
    </row>
    <row r="5" spans="1:4" ht="28.8" x14ac:dyDescent="0.3">
      <c r="A5" s="13" t="s">
        <v>222</v>
      </c>
      <c r="B5" s="13" t="s">
        <v>223</v>
      </c>
      <c r="C5" s="13" t="s">
        <v>224</v>
      </c>
      <c r="D5" s="13" t="s">
        <v>225</v>
      </c>
    </row>
    <row r="6" spans="1:4" x14ac:dyDescent="0.3">
      <c r="A6" s="13" t="s">
        <v>226</v>
      </c>
      <c r="B6" s="13" t="s">
        <v>227</v>
      </c>
      <c r="C6" s="13" t="s">
        <v>228</v>
      </c>
      <c r="D6" s="13" t="s">
        <v>229</v>
      </c>
    </row>
    <row r="7" spans="1:4" x14ac:dyDescent="0.3">
      <c r="A7" s="13" t="s">
        <v>230</v>
      </c>
      <c r="B7" s="13" t="s">
        <v>231</v>
      </c>
      <c r="C7" s="13" t="s">
        <v>232</v>
      </c>
      <c r="D7" s="13" t="s">
        <v>233</v>
      </c>
    </row>
    <row r="8" spans="1:4" x14ac:dyDescent="0.3">
      <c r="A8" s="13" t="s">
        <v>234</v>
      </c>
      <c r="B8" s="13" t="s">
        <v>235</v>
      </c>
      <c r="C8" s="13" t="s">
        <v>236</v>
      </c>
      <c r="D8" s="13" t="s">
        <v>237</v>
      </c>
    </row>
    <row r="9" spans="1:4" ht="28.8" x14ac:dyDescent="0.3">
      <c r="A9" s="13" t="s">
        <v>238</v>
      </c>
      <c r="B9" s="13" t="s">
        <v>239</v>
      </c>
      <c r="C9" s="13" t="s">
        <v>240</v>
      </c>
      <c r="D9" s="13" t="s">
        <v>241</v>
      </c>
    </row>
    <row r="10" spans="1:4" x14ac:dyDescent="0.3">
      <c r="A10" s="13" t="s">
        <v>242</v>
      </c>
      <c r="B10" s="13" t="s">
        <v>243</v>
      </c>
      <c r="C10" s="13" t="s">
        <v>244</v>
      </c>
      <c r="D10" s="13" t="s">
        <v>245</v>
      </c>
    </row>
  </sheetData>
  <mergeCells count="1">
    <mergeCell ref="A1:D1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Tasks</vt:lpstr>
      <vt:lpstr>Raw Data</vt:lpstr>
      <vt:lpstr>Clean Data</vt:lpstr>
      <vt:lpstr>Analysis</vt:lpstr>
      <vt:lpstr>Dashboard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priyavadsak9836@outlook.com</cp:lastModifiedBy>
  <dcterms:created xsi:type="dcterms:W3CDTF">2026-10-15T14:22:05Z</dcterms:created>
  <dcterms:modified xsi:type="dcterms:W3CDTF">2026-10-15T14:54:20Z</dcterms:modified>
</cp:coreProperties>
</file>